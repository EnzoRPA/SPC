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Financeiro\CONTAS A RECEBER\ENZO VERZARO\Documents\S\SPC\"/>
    </mc:Choice>
  </mc:AlternateContent>
  <xr:revisionPtr revIDLastSave="0" documentId="13_ncr:1_{98A3F627-2CC5-49F7-8211-2590F69E948A}" xr6:coauthVersionLast="47" xr6:coauthVersionMax="47" xr10:uidLastSave="{00000000-0000-0000-0000-000000000000}"/>
  <bookViews>
    <workbookView xWindow="3510" yWindow="0" windowWidth="14610" windowHeight="15480" tabRatio="830" firstSheet="2" activeTab="3" xr2:uid="{0A86F18A-511A-454A-8400-2ECF4060FCD4}"/>
  </bookViews>
  <sheets>
    <sheet name="bkup" sheetId="8" state="hidden" r:id="rId1"/>
    <sheet name="bkup (2)" sheetId="10" state="hidden" r:id="rId2"/>
    <sheet name="PESSOA FISICA" sheetId="12" r:id="rId3"/>
    <sheet name="cpf" sheetId="14" r:id="rId4"/>
    <sheet name="cnpj" sheetId="15" r:id="rId5"/>
    <sheet name="PESSOA JURIDICA" sheetId="13" r:id="rId6"/>
  </sheets>
  <externalReferences>
    <externalReference r:id="rId7"/>
  </externalReferences>
  <definedNames>
    <definedName name="_xlnm._FilterDatabase" localSheetId="1" hidden="1">'bkup (2)'!$A$1:$I$137</definedName>
    <definedName name="_xlnm._FilterDatabase" localSheetId="2" hidden="1">'PESSOA FISICA'!$A$1:$J$1190</definedName>
    <definedName name="_xlnm._FilterDatabase" localSheetId="5" hidden="1">'PESSOA JURIDICA'!$A$1:$I$34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43" i="12" l="1"/>
  <c r="J944" i="12"/>
  <c r="J945" i="12"/>
  <c r="J946" i="12"/>
  <c r="J947" i="12"/>
  <c r="J948" i="12"/>
  <c r="J949" i="12"/>
  <c r="J950" i="12"/>
  <c r="J951" i="12"/>
  <c r="J64" i="13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04" i="12"/>
  <c r="J905" i="12"/>
  <c r="J63" i="13"/>
  <c r="J902" i="12"/>
  <c r="J903" i="12"/>
  <c r="J58" i="13"/>
  <c r="J59" i="13"/>
  <c r="J60" i="13"/>
  <c r="J61" i="13"/>
  <c r="J62" i="13"/>
  <c r="J900" i="12"/>
  <c r="J901" i="12"/>
  <c r="J55" i="13"/>
  <c r="J54" i="13"/>
  <c r="J53" i="13"/>
  <c r="J52" i="13"/>
  <c r="J51" i="13"/>
  <c r="J50" i="13"/>
  <c r="J49" i="13"/>
  <c r="J48" i="13"/>
  <c r="J897" i="12"/>
  <c r="J898" i="12"/>
  <c r="J899" i="12"/>
  <c r="J887" i="12"/>
  <c r="J888" i="12"/>
  <c r="J889" i="12"/>
  <c r="J890" i="12"/>
  <c r="J892" i="12"/>
  <c r="J893" i="12"/>
  <c r="J894" i="12"/>
  <c r="J895" i="12"/>
  <c r="J896" i="12"/>
  <c r="J38" i="13"/>
  <c r="J39" i="13"/>
  <c r="J40" i="13"/>
  <c r="J41" i="13"/>
  <c r="J42" i="13"/>
  <c r="J43" i="13"/>
  <c r="J44" i="13"/>
  <c r="J45" i="13"/>
  <c r="J46" i="13"/>
  <c r="J47" i="13"/>
  <c r="J56" i="13"/>
  <c r="J57" i="13"/>
  <c r="J867" i="12"/>
  <c r="J869" i="12"/>
  <c r="J870" i="12"/>
  <c r="J872" i="12"/>
  <c r="J873" i="12"/>
  <c r="J877" i="12"/>
  <c r="J878" i="12"/>
  <c r="J881" i="12"/>
  <c r="J882" i="12"/>
  <c r="J883" i="12"/>
  <c r="J884" i="12"/>
  <c r="J886" i="12"/>
  <c r="J866" i="12"/>
  <c r="J865" i="12"/>
  <c r="J864" i="12"/>
  <c r="J863" i="12"/>
  <c r="J862" i="12"/>
  <c r="J861" i="12"/>
  <c r="J860" i="12"/>
  <c r="J859" i="12"/>
  <c r="J858" i="12"/>
  <c r="J857" i="12"/>
  <c r="J856" i="12"/>
  <c r="J855" i="12"/>
  <c r="J854" i="12"/>
  <c r="J853" i="12"/>
  <c r="J852" i="12"/>
  <c r="J851" i="12"/>
  <c r="J850" i="12"/>
  <c r="J849" i="12"/>
  <c r="J848" i="12"/>
  <c r="J847" i="12"/>
  <c r="J846" i="12"/>
  <c r="J845" i="12"/>
  <c r="J844" i="12"/>
  <c r="J843" i="12"/>
  <c r="J842" i="12"/>
  <c r="J841" i="12"/>
  <c r="J840" i="12"/>
  <c r="J839" i="12"/>
  <c r="J838" i="12"/>
  <c r="J837" i="12"/>
  <c r="J836" i="12"/>
  <c r="J835" i="12"/>
  <c r="J834" i="12"/>
  <c r="J833" i="12"/>
  <c r="J832" i="12"/>
  <c r="J831" i="12"/>
  <c r="J830" i="12"/>
  <c r="J829" i="12"/>
  <c r="J828" i="12"/>
  <c r="J827" i="12"/>
  <c r="J826" i="12"/>
  <c r="J825" i="12"/>
  <c r="J824" i="12"/>
  <c r="J823" i="12"/>
  <c r="J822" i="12"/>
  <c r="J821" i="12"/>
  <c r="J820" i="12"/>
  <c r="J819" i="12"/>
  <c r="J818" i="12"/>
  <c r="J817" i="12"/>
  <c r="J816" i="12"/>
  <c r="J815" i="12"/>
  <c r="J814" i="12"/>
  <c r="J813" i="12"/>
  <c r="J812" i="12"/>
  <c r="J811" i="12"/>
  <c r="J810" i="12"/>
  <c r="J809" i="12"/>
  <c r="J808" i="12"/>
  <c r="J807" i="12"/>
  <c r="J806" i="12"/>
  <c r="J805" i="12"/>
  <c r="J804" i="12"/>
  <c r="J803" i="12"/>
  <c r="J802" i="12"/>
  <c r="J801" i="12"/>
  <c r="J800" i="12"/>
  <c r="J799" i="12"/>
  <c r="J798" i="12"/>
  <c r="J797" i="12"/>
  <c r="J796" i="12"/>
  <c r="J795" i="12"/>
  <c r="J794" i="12"/>
  <c r="J793" i="12"/>
  <c r="J792" i="12"/>
  <c r="J791" i="12"/>
  <c r="J790" i="12"/>
  <c r="J789" i="12"/>
  <c r="J788" i="12"/>
  <c r="J787" i="12"/>
  <c r="J786" i="12"/>
  <c r="J785" i="12"/>
  <c r="J784" i="12"/>
  <c r="J783" i="12"/>
  <c r="J782" i="12"/>
  <c r="J781" i="12"/>
  <c r="J780" i="12"/>
  <c r="J779" i="12"/>
  <c r="J778" i="12"/>
  <c r="J777" i="12"/>
  <c r="J776" i="12"/>
  <c r="J775" i="12"/>
  <c r="J774" i="12"/>
  <c r="J773" i="12"/>
  <c r="J772" i="12"/>
  <c r="J771" i="12"/>
  <c r="J770" i="12"/>
  <c r="J769" i="12"/>
  <c r="J768" i="12"/>
  <c r="J767" i="12"/>
  <c r="J766" i="12"/>
  <c r="J765" i="12"/>
  <c r="J764" i="12"/>
  <c r="J763" i="12"/>
  <c r="J762" i="12"/>
  <c r="J761" i="12"/>
  <c r="J760" i="12"/>
  <c r="J759" i="12"/>
  <c r="J758" i="12"/>
  <c r="J757" i="12"/>
  <c r="J756" i="12"/>
  <c r="J755" i="12"/>
  <c r="J754" i="12"/>
  <c r="J753" i="12"/>
  <c r="J752" i="12"/>
  <c r="J751" i="12"/>
  <c r="J750" i="12"/>
  <c r="J749" i="12"/>
  <c r="J748" i="12"/>
  <c r="J747" i="12"/>
  <c r="J746" i="12"/>
  <c r="J745" i="12"/>
  <c r="J744" i="12"/>
  <c r="J743" i="12"/>
  <c r="J742" i="12"/>
  <c r="J741" i="12"/>
  <c r="J740" i="12"/>
  <c r="J739" i="12"/>
  <c r="J738" i="12"/>
  <c r="J737" i="12"/>
  <c r="J736" i="12"/>
  <c r="J735" i="12"/>
  <c r="J734" i="12"/>
  <c r="J733" i="12"/>
  <c r="J732" i="12"/>
  <c r="J731" i="12"/>
  <c r="J730" i="12"/>
  <c r="J726" i="12"/>
  <c r="J727" i="12"/>
  <c r="J728" i="12"/>
  <c r="J729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2" i="13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2" i="12"/>
  <c r="H3" i="10"/>
  <c r="I3" i="10" s="1"/>
  <c r="H4" i="10"/>
  <c r="I4" i="10" s="1"/>
  <c r="H5" i="10"/>
  <c r="I5" i="10" s="1"/>
  <c r="H6" i="10"/>
  <c r="I6" i="10" s="1"/>
  <c r="H7" i="10"/>
  <c r="H8" i="10"/>
  <c r="I8" i="10" s="1"/>
  <c r="H9" i="10"/>
  <c r="H10" i="10"/>
  <c r="I10" i="10" s="1"/>
  <c r="H11" i="10"/>
  <c r="I11" i="10" s="1"/>
  <c r="H12" i="10"/>
  <c r="I12" i="10" s="1"/>
  <c r="H13" i="10"/>
  <c r="I13" i="10" s="1"/>
  <c r="H14" i="10"/>
  <c r="I14" i="10" s="1"/>
  <c r="H15" i="10"/>
  <c r="H16" i="10"/>
  <c r="I16" i="10" s="1"/>
  <c r="H17" i="10"/>
  <c r="I17" i="10" s="1"/>
  <c r="H18" i="10"/>
  <c r="I18" i="10" s="1"/>
  <c r="H19" i="10"/>
  <c r="I19" i="10" s="1"/>
  <c r="H20" i="10"/>
  <c r="H21" i="10"/>
  <c r="I21" i="10" s="1"/>
  <c r="H22" i="10"/>
  <c r="I22" i="10" s="1"/>
  <c r="H23" i="10"/>
  <c r="I23" i="10" s="1"/>
  <c r="H24" i="10"/>
  <c r="H25" i="10"/>
  <c r="I25" i="10" s="1"/>
  <c r="H26" i="10"/>
  <c r="I26" i="10" s="1"/>
  <c r="H27" i="10"/>
  <c r="I27" i="10" s="1"/>
  <c r="H28" i="10"/>
  <c r="I28" i="10" s="1"/>
  <c r="H29" i="10"/>
  <c r="I29" i="10" s="1"/>
  <c r="H30" i="10"/>
  <c r="I30" i="10" s="1"/>
  <c r="H31" i="10"/>
  <c r="I31" i="10" s="1"/>
  <c r="H32" i="10"/>
  <c r="I32" i="10" s="1"/>
  <c r="H33" i="10"/>
  <c r="I33" i="10" s="1"/>
  <c r="H34" i="10"/>
  <c r="I34" i="10" s="1"/>
  <c r="H35" i="10"/>
  <c r="I35" i="10" s="1"/>
  <c r="H36" i="10"/>
  <c r="H37" i="10"/>
  <c r="I37" i="10" s="1"/>
  <c r="H38" i="10"/>
  <c r="I38" i="10" s="1"/>
  <c r="H39" i="10"/>
  <c r="I39" i="10" s="1"/>
  <c r="H40" i="10"/>
  <c r="I40" i="10" s="1"/>
  <c r="H41" i="10"/>
  <c r="I41" i="10" s="1"/>
  <c r="H42" i="10"/>
  <c r="H43" i="10"/>
  <c r="H44" i="10"/>
  <c r="I44" i="10" s="1"/>
  <c r="H45" i="10"/>
  <c r="I45" i="10" s="1"/>
  <c r="H46" i="10"/>
  <c r="I46" i="10" s="1"/>
  <c r="H47" i="10"/>
  <c r="H48" i="10"/>
  <c r="I48" i="10" s="1"/>
  <c r="H49" i="10"/>
  <c r="H50" i="10"/>
  <c r="I50" i="10" s="1"/>
  <c r="H51" i="10"/>
  <c r="H52" i="10"/>
  <c r="I52" i="10" s="1"/>
  <c r="H53" i="10"/>
  <c r="I53" i="10" s="1"/>
  <c r="H54" i="10"/>
  <c r="I54" i="10" s="1"/>
  <c r="H55" i="10"/>
  <c r="I55" i="10" s="1"/>
  <c r="H56" i="10"/>
  <c r="H57" i="10"/>
  <c r="H58" i="10"/>
  <c r="I58" i="10" s="1"/>
  <c r="H59" i="10"/>
  <c r="H60" i="10"/>
  <c r="I60" i="10" s="1"/>
  <c r="H61" i="10"/>
  <c r="I61" i="10" s="1"/>
  <c r="H62" i="10"/>
  <c r="H63" i="10"/>
  <c r="I63" i="10" s="1"/>
  <c r="H64" i="10"/>
  <c r="I64" i="10" s="1"/>
  <c r="H65" i="10"/>
  <c r="I65" i="10" s="1"/>
  <c r="H66" i="10"/>
  <c r="I66" i="10" s="1"/>
  <c r="H67" i="10"/>
  <c r="I67" i="10" s="1"/>
  <c r="H68" i="10"/>
  <c r="I68" i="10" s="1"/>
  <c r="H69" i="10"/>
  <c r="I69" i="10" s="1"/>
  <c r="H70" i="10"/>
  <c r="I70" i="10" s="1"/>
  <c r="H71" i="10"/>
  <c r="H72" i="10"/>
  <c r="I72" i="10" s="1"/>
  <c r="H73" i="10"/>
  <c r="I73" i="10" s="1"/>
  <c r="H74" i="10"/>
  <c r="H75" i="10"/>
  <c r="I75" i="10" s="1"/>
  <c r="H76" i="10"/>
  <c r="H77" i="10"/>
  <c r="I77" i="10" s="1"/>
  <c r="H78" i="10"/>
  <c r="H79" i="10"/>
  <c r="I79" i="10" s="1"/>
  <c r="H80" i="10"/>
  <c r="I80" i="10" s="1"/>
  <c r="H81" i="10"/>
  <c r="I81" i="10" s="1"/>
  <c r="H82" i="10"/>
  <c r="I82" i="10" s="1"/>
  <c r="H83" i="10"/>
  <c r="I83" i="10" s="1"/>
  <c r="H84" i="10"/>
  <c r="I84" i="10" s="1"/>
  <c r="H85" i="10"/>
  <c r="I85" i="10" s="1"/>
  <c r="H86" i="10"/>
  <c r="I86" i="10" s="1"/>
  <c r="H87" i="10"/>
  <c r="I87" i="10" s="1"/>
  <c r="H88" i="10"/>
  <c r="I88" i="10" s="1"/>
  <c r="H89" i="10"/>
  <c r="I89" i="10" s="1"/>
  <c r="H90" i="10"/>
  <c r="I90" i="10" s="1"/>
  <c r="H91" i="10"/>
  <c r="H92" i="10"/>
  <c r="H93" i="10"/>
  <c r="I93" i="10" s="1"/>
  <c r="H94" i="10"/>
  <c r="I94" i="10" s="1"/>
  <c r="H95" i="10"/>
  <c r="I95" i="10" s="1"/>
  <c r="H96" i="10"/>
  <c r="I96" i="10" s="1"/>
  <c r="H97" i="10"/>
  <c r="I97" i="10" s="1"/>
  <c r="H98" i="10"/>
  <c r="I98" i="10" s="1"/>
  <c r="H99" i="10"/>
  <c r="I99" i="10" s="1"/>
  <c r="H100" i="10"/>
  <c r="I100" i="10" s="1"/>
  <c r="H101" i="10"/>
  <c r="I101" i="10" s="1"/>
  <c r="H102" i="10"/>
  <c r="I102" i="10" s="1"/>
  <c r="H103" i="10"/>
  <c r="I103" i="10" s="1"/>
  <c r="H104" i="10"/>
  <c r="I104" i="10" s="1"/>
  <c r="H105" i="10"/>
  <c r="I105" i="10" s="1"/>
  <c r="H106" i="10"/>
  <c r="I106" i="10" s="1"/>
  <c r="H107" i="10"/>
  <c r="I107" i="10" s="1"/>
  <c r="H108" i="10"/>
  <c r="H109" i="10"/>
  <c r="I109" i="10" s="1"/>
  <c r="H110" i="10"/>
  <c r="I110" i="10" s="1"/>
  <c r="H111" i="10"/>
  <c r="I111" i="10" s="1"/>
  <c r="H112" i="10"/>
  <c r="I112" i="10" s="1"/>
  <c r="H113" i="10"/>
  <c r="I113" i="10" s="1"/>
  <c r="H114" i="10"/>
  <c r="I114" i="10" s="1"/>
  <c r="H115" i="10"/>
  <c r="I115" i="10" s="1"/>
  <c r="H116" i="10"/>
  <c r="I116" i="10" s="1"/>
  <c r="H117" i="10"/>
  <c r="I117" i="10" s="1"/>
  <c r="H118" i="10"/>
  <c r="I118" i="10" s="1"/>
  <c r="H119" i="10"/>
  <c r="I119" i="10" s="1"/>
  <c r="H120" i="10"/>
  <c r="I120" i="10" s="1"/>
  <c r="H121" i="10"/>
  <c r="H122" i="10"/>
  <c r="I122" i="10" s="1"/>
  <c r="H123" i="10"/>
  <c r="I123" i="10" s="1"/>
  <c r="H124" i="10"/>
  <c r="I124" i="10" s="1"/>
  <c r="H125" i="10"/>
  <c r="I125" i="10" s="1"/>
  <c r="H126" i="10"/>
  <c r="I126" i="10" s="1"/>
  <c r="H127" i="10"/>
  <c r="I127" i="10" s="1"/>
  <c r="H128" i="10"/>
  <c r="I128" i="10" s="1"/>
  <c r="H129" i="10"/>
  <c r="I129" i="10" s="1"/>
  <c r="H130" i="10"/>
  <c r="I130" i="10" s="1"/>
  <c r="H131" i="10"/>
  <c r="I131" i="10" s="1"/>
  <c r="H132" i="10"/>
  <c r="I132" i="10" s="1"/>
  <c r="H133" i="10"/>
  <c r="I133" i="10" s="1"/>
  <c r="H134" i="10"/>
  <c r="H135" i="10"/>
  <c r="I135" i="10" s="1"/>
  <c r="H136" i="10"/>
  <c r="H137" i="10"/>
  <c r="I137" i="10" s="1"/>
  <c r="H2" i="10"/>
  <c r="I2" i="10" s="1"/>
</calcChain>
</file>

<file path=xl/sharedStrings.xml><?xml version="1.0" encoding="utf-8"?>
<sst xmlns="http://schemas.openxmlformats.org/spreadsheetml/2006/main" count="5731" uniqueCount="952">
  <si>
    <t>TIPO DOCUMENTO</t>
  </si>
  <si>
    <t>CONTRATO</t>
  </si>
  <si>
    <t>DATA VENCIMENTO SPC</t>
  </si>
  <si>
    <t>VALOR DÉBITO</t>
  </si>
  <si>
    <t>DATA INCLUSÃO</t>
  </si>
  <si>
    <t>000.491.835-59</t>
  </si>
  <si>
    <t>000.847.793-06</t>
  </si>
  <si>
    <t>350</t>
  </si>
  <si>
    <t>001.884.861-35</t>
  </si>
  <si>
    <t>003.992.943-41</t>
  </si>
  <si>
    <t>005.312.093-00</t>
  </si>
  <si>
    <t>006.751.373-57</t>
  </si>
  <si>
    <t>007.773.473-42</t>
  </si>
  <si>
    <t>008.580.223-97</t>
  </si>
  <si>
    <t>008.896.003-09</t>
  </si>
  <si>
    <t>010.657.683-62</t>
  </si>
  <si>
    <t>011.520.043-60</t>
  </si>
  <si>
    <t>012.117.443-37</t>
  </si>
  <si>
    <t>014.395.333-85</t>
  </si>
  <si>
    <t>019.649.303-08</t>
  </si>
  <si>
    <t>022.744.627-55</t>
  </si>
  <si>
    <t>023.089.883-12</t>
  </si>
  <si>
    <t>026.823.835-99</t>
  </si>
  <si>
    <t>026.928.703-52</t>
  </si>
  <si>
    <t>027.321.753-40</t>
  </si>
  <si>
    <t>027.771.703-55</t>
  </si>
  <si>
    <t>028.404.121-10</t>
  </si>
  <si>
    <t>030.772.123-07</t>
  </si>
  <si>
    <t>031.301.431-06</t>
  </si>
  <si>
    <t>035.232.783-92</t>
  </si>
  <si>
    <t>040.986.493-57</t>
  </si>
  <si>
    <t>041.040.453-57</t>
  </si>
  <si>
    <t>041.301.303-07</t>
  </si>
  <si>
    <t>043.148.263-20</t>
  </si>
  <si>
    <t>047.029.963-04</t>
  </si>
  <si>
    <t>048.501.513-70</t>
  </si>
  <si>
    <t>049.139.133-10</t>
  </si>
  <si>
    <t>050.020.123-45</t>
  </si>
  <si>
    <t>050.127.361-17</t>
  </si>
  <si>
    <t>050.419.272-86</t>
  </si>
  <si>
    <t>051.558.013-97</t>
  </si>
  <si>
    <t>051.653.023-26</t>
  </si>
  <si>
    <t>051.801.723-06</t>
  </si>
  <si>
    <t>051.821.053-71</t>
  </si>
  <si>
    <t>052.250.143-56</t>
  </si>
  <si>
    <t>054.032.173-71</t>
  </si>
  <si>
    <t>054.525.933-90</t>
  </si>
  <si>
    <t>055.772.253-53</t>
  </si>
  <si>
    <t>056.828.663-47</t>
  </si>
  <si>
    <t>057.161.593-70</t>
  </si>
  <si>
    <t>057.573.023-48</t>
  </si>
  <si>
    <t>058.468.513-04</t>
  </si>
  <si>
    <t>059.005.563-10</t>
  </si>
  <si>
    <t>069.661.293-30</t>
  </si>
  <si>
    <t>072.722.313-51</t>
  </si>
  <si>
    <t>075.966.467-60</t>
  </si>
  <si>
    <t>110.774.093-20</t>
  </si>
  <si>
    <t>250.265.773-34</t>
  </si>
  <si>
    <t>255.359.943-91</t>
  </si>
  <si>
    <t>270.629.703-44</t>
  </si>
  <si>
    <t>280.768.423-87</t>
  </si>
  <si>
    <t>291.132.963-53</t>
  </si>
  <si>
    <t>291.158.923-87</t>
  </si>
  <si>
    <t>299.556.613-72</t>
  </si>
  <si>
    <t>336.228.843-04</t>
  </si>
  <si>
    <t>345.089.373-49</t>
  </si>
  <si>
    <t>357.876.191-53</t>
  </si>
  <si>
    <t>401.881.833-53</t>
  </si>
  <si>
    <t>402.424.553-87</t>
  </si>
  <si>
    <t>424.643.583-04</t>
  </si>
  <si>
    <t>435.924.573-49</t>
  </si>
  <si>
    <t>436.129.703-72</t>
  </si>
  <si>
    <t>437.745.472-20</t>
  </si>
  <si>
    <t>467.046.983-53</t>
  </si>
  <si>
    <t>476.220.403-04</t>
  </si>
  <si>
    <t>487.833.663-34</t>
  </si>
  <si>
    <t>489.414.503-06</t>
  </si>
  <si>
    <t>523.750.053-68</t>
  </si>
  <si>
    <t>525.125.766-04</t>
  </si>
  <si>
    <t>600.549.333-74</t>
  </si>
  <si>
    <t>602.332.953-56</t>
  </si>
  <si>
    <t>602.530.833-03</t>
  </si>
  <si>
    <t>602.757.413-54</t>
  </si>
  <si>
    <t>603.982.543-03</t>
  </si>
  <si>
    <t>604.782.733-04</t>
  </si>
  <si>
    <t>605.686.232-15</t>
  </si>
  <si>
    <t>606.641.593-03</t>
  </si>
  <si>
    <t>606.849.113-70</t>
  </si>
  <si>
    <t>607.720.143-02</t>
  </si>
  <si>
    <t>609.630.243-29</t>
  </si>
  <si>
    <t>610.210.543-56</t>
  </si>
  <si>
    <t>615.198.553-20</t>
  </si>
  <si>
    <t>618.619.793-04</t>
  </si>
  <si>
    <t>621.096.843-05</t>
  </si>
  <si>
    <t>626.258.923-66</t>
  </si>
  <si>
    <t>632.195.063-72</t>
  </si>
  <si>
    <t>642.217.843-34</t>
  </si>
  <si>
    <t>645.383.463-49</t>
  </si>
  <si>
    <t>645.425.802-53</t>
  </si>
  <si>
    <t>645.796.113-49</t>
  </si>
  <si>
    <t>650.888.083-72</t>
  </si>
  <si>
    <t>667.450.123-91</t>
  </si>
  <si>
    <t>700.270.414-17</t>
  </si>
  <si>
    <t>701.546.101-35</t>
  </si>
  <si>
    <t>702.237.263-20</t>
  </si>
  <si>
    <t>778.355.813-53</t>
  </si>
  <si>
    <t>832.512.273-00</t>
  </si>
  <si>
    <t>850.558.323-04</t>
  </si>
  <si>
    <t>856.002.883-87</t>
  </si>
  <si>
    <t>859.055.183-00</t>
  </si>
  <si>
    <t>873.129.803-68</t>
  </si>
  <si>
    <t>900.743.433-00</t>
  </si>
  <si>
    <t>904.272.033-68</t>
  </si>
  <si>
    <t>904.533.873-49</t>
  </si>
  <si>
    <t>905.305.433-20</t>
  </si>
  <si>
    <t>920.075.463-53</t>
  </si>
  <si>
    <t>923.117.923-34</t>
  </si>
  <si>
    <t xml:space="preserve">STATUS </t>
  </si>
  <si>
    <t>Nenhum registro de SPC encontrado</t>
  </si>
  <si>
    <t>id</t>
  </si>
  <si>
    <t>REMOVIDOS SPC CONFERIDOS</t>
  </si>
  <si>
    <t>OK</t>
  </si>
  <si>
    <t>628.719.433-20</t>
  </si>
  <si>
    <t>668.717.863-68</t>
  </si>
  <si>
    <t>00049869388</t>
  </si>
  <si>
    <t>00149078366</t>
  </si>
  <si>
    <t>00230880363</t>
  </si>
  <si>
    <t>00257319395</t>
  </si>
  <si>
    <t>00350375399</t>
  </si>
  <si>
    <t>00358875323</t>
  </si>
  <si>
    <t>00484203363</t>
  </si>
  <si>
    <t>00524814333</t>
  </si>
  <si>
    <t>00524843350</t>
  </si>
  <si>
    <t>00594667232</t>
  </si>
  <si>
    <t>00715694308</t>
  </si>
  <si>
    <t>00736528300</t>
  </si>
  <si>
    <t>00877758328</t>
  </si>
  <si>
    <t>00900275316</t>
  </si>
  <si>
    <t>00901885355</t>
  </si>
  <si>
    <t>01039685390</t>
  </si>
  <si>
    <t>00047892293</t>
  </si>
  <si>
    <t>00152468250</t>
  </si>
  <si>
    <t>00247054380</t>
  </si>
  <si>
    <t>00255112386</t>
  </si>
  <si>
    <t>00298273373</t>
  </si>
  <si>
    <t>00505628350</t>
  </si>
  <si>
    <t>00669661325</t>
  </si>
  <si>
    <t>00686331303</t>
  </si>
  <si>
    <t>00881293814</t>
  </si>
  <si>
    <t>00993994318</t>
  </si>
  <si>
    <t>01510728333</t>
  </si>
  <si>
    <t>01551644304</t>
  </si>
  <si>
    <t>01720127328</t>
  </si>
  <si>
    <t>02456208340</t>
  </si>
  <si>
    <t>02484436000129</t>
  </si>
  <si>
    <t>02560174332</t>
  </si>
  <si>
    <t>02572386380</t>
  </si>
  <si>
    <t>02646241305</t>
  </si>
  <si>
    <t>02718689374</t>
  </si>
  <si>
    <t>02895729328</t>
  </si>
  <si>
    <t>03340108374</t>
  </si>
  <si>
    <t>03548824307</t>
  </si>
  <si>
    <t>04134023394</t>
  </si>
  <si>
    <t>04151837310</t>
  </si>
  <si>
    <t>04530326306</t>
  </si>
  <si>
    <t>05162768324</t>
  </si>
  <si>
    <t>05163074369</t>
  </si>
  <si>
    <t>05273311390</t>
  </si>
  <si>
    <t>05291337338</t>
  </si>
  <si>
    <t>05398132300</t>
  </si>
  <si>
    <t>05686123373</t>
  </si>
  <si>
    <t>05791503300</t>
  </si>
  <si>
    <t>05937015347</t>
  </si>
  <si>
    <t>06497705368</t>
  </si>
  <si>
    <t>06756943375</t>
  </si>
  <si>
    <t>08096850000147</t>
  </si>
  <si>
    <t>09833204627</t>
  </si>
  <si>
    <t>10593712000115</t>
  </si>
  <si>
    <t>11858218000106</t>
  </si>
  <si>
    <t>12824495000152</t>
  </si>
  <si>
    <t>13016897000193</t>
  </si>
  <si>
    <t>13123194000164</t>
  </si>
  <si>
    <t>19350027000132</t>
  </si>
  <si>
    <t>19919304000185</t>
  </si>
  <si>
    <t>20791834000170</t>
  </si>
  <si>
    <t>22276931000150</t>
  </si>
  <si>
    <t>24158829000185</t>
  </si>
  <si>
    <t>25362003000104</t>
  </si>
  <si>
    <t>29150275000274</t>
  </si>
  <si>
    <t>35158484000186</t>
  </si>
  <si>
    <t>36560722000148</t>
  </si>
  <si>
    <t>36610842000102</t>
  </si>
  <si>
    <t>36750088000106</t>
  </si>
  <si>
    <t>36863684000100</t>
  </si>
  <si>
    <t>39519425000147</t>
  </si>
  <si>
    <t>43933832000173</t>
  </si>
  <si>
    <t>44267047000191</t>
  </si>
  <si>
    <t>45578615000138</t>
  </si>
  <si>
    <t>47195267000145</t>
  </si>
  <si>
    <t>47804171000137</t>
  </si>
  <si>
    <t>48935237000190</t>
  </si>
  <si>
    <t>49551579000170</t>
  </si>
  <si>
    <t>50631397000279</t>
  </si>
  <si>
    <t>56661246000169</t>
  </si>
  <si>
    <t>56996596000186</t>
  </si>
  <si>
    <t>PF</t>
  </si>
  <si>
    <t>PJ</t>
  </si>
  <si>
    <t>00899446906</t>
  </si>
  <si>
    <t>22/10/2025</t>
  </si>
  <si>
    <t>21/10/2025</t>
  </si>
  <si>
    <t>23/10/2025</t>
  </si>
  <si>
    <t>24/10/2025</t>
  </si>
  <si>
    <t>20/10/2025</t>
  </si>
  <si>
    <t>25/10/2025</t>
  </si>
  <si>
    <t>27/10/2025</t>
  </si>
  <si>
    <t>EXCLUSÃO EFETIVADA COM SUCESSO</t>
  </si>
  <si>
    <t>Nenhum registro de SPC encontrado - 05/11/2025 00:00:04</t>
  </si>
  <si>
    <t>Nenhum registro de SPC encontrado - 05/11/2025 00:00:05</t>
  </si>
  <si>
    <t>Nenhum registro de SPC encontrado - 05/11/2025 00:00:06</t>
  </si>
  <si>
    <t>Nenhum registro de SPC encontrado - 05/11/2025 00:00:07</t>
  </si>
  <si>
    <t>Nenhum registro de SPC encontrado - 05/11/2025 00:00:08</t>
  </si>
  <si>
    <t>Nenhum registro de SPC encontrado - 05/11/2025 00:00:09</t>
  </si>
  <si>
    <t>Nenhum registro de SPC encontrado - 05/11/2025 00:00:10</t>
  </si>
  <si>
    <t>Nenhum registro de SPC encontrado - 05/11/2025 00:00:11</t>
  </si>
  <si>
    <t>Nenhum registro de SPC encontrado - 05/11/2025 00:00:12</t>
  </si>
  <si>
    <t>Nenhum registro de SPC encontrado - 05/11/2025 00:00:13</t>
  </si>
  <si>
    <t>Nenhum registro de SPC encontrado - 05/11/2025 00:00:14</t>
  </si>
  <si>
    <t>Nenhum registro de SPC encontrado - 05/11/2025 00:00:15</t>
  </si>
  <si>
    <t>Nenhum registro de SPC encontrado - 05/11/2025 00:00:16</t>
  </si>
  <si>
    <t>Nenhum registro de SPC encontrado - 05/11/2025 00:00:17</t>
  </si>
  <si>
    <t>Nenhum registro de SPC encontrado - 05/11/2025 00:00:18</t>
  </si>
  <si>
    <t>Nenhum registro de SPC encontrado - 05/11/2025 00:00:19</t>
  </si>
  <si>
    <t>Nenhum registro de SPC encontrado - 05/11/2025 00:00:20</t>
  </si>
  <si>
    <t>Nenhum registro de SPC encontrado - 05/11/2025 00:00:21</t>
  </si>
  <si>
    <t>Nenhum registro de SPC encontrado - 05/11/2025 00:00:22</t>
  </si>
  <si>
    <t>Nenhum registro de SPC encontrado - 05/11/2025 00:00:23</t>
  </si>
  <si>
    <t>Nenhum registro de SPC encontrado - 05/11/2025 00:00:24</t>
  </si>
  <si>
    <t>Nenhum registro de SPC encontrado - 05/11/2025 00:00:25</t>
  </si>
  <si>
    <t>Nenhum registro de SPC encontrado - 05/11/2025 00:00:26</t>
  </si>
  <si>
    <t>Nenhum registro de SPC encontrado - 05/11/2025 00:00:27</t>
  </si>
  <si>
    <t>Nenhum registro de SPC encontrado - 05/11/2025 00:00:28</t>
  </si>
  <si>
    <t>Nenhum registro de SPC encontrado - 05/11/2025 00:00:29</t>
  </si>
  <si>
    <t>Nenhum registro de SPC encontrado - 05/11/2025 00:00:30</t>
  </si>
  <si>
    <t>Nenhum registro de SPC encontrado - 05/11/2025 00:00:31</t>
  </si>
  <si>
    <t>Nenhum registro de SPC encontrado - 05/11/2025 00:00:32</t>
  </si>
  <si>
    <t>Nenhum registro de SPC encontrado - 05/11/2025 00:00:33</t>
  </si>
  <si>
    <t>Nenhum registro de SPC encontrado - 05/11/2025 00:00:34</t>
  </si>
  <si>
    <t>Nenhum registro de SPC encontrado - 05/11/2025 00:00:35</t>
  </si>
  <si>
    <t>Nenhum registro de SPC encontrado - 05/11/2025 00:00:36</t>
  </si>
  <si>
    <t>Nenhum registro de SPC encontrado - 05/11/2025 00:00:37</t>
  </si>
  <si>
    <t>Nenhum registro de SPC encontrado - 05/11/2025 00:00:38</t>
  </si>
  <si>
    <t>Nenhum registro de SPC encontrado - 05/11/2025 00:00:39</t>
  </si>
  <si>
    <t>Nenhum registro de SPC encontrado - 05/11/2025 00:00:40</t>
  </si>
  <si>
    <t>Nenhum registro de SPC encontrado - 05/11/2025 00:00:41</t>
  </si>
  <si>
    <t>Nenhum registro de SPC encontrado - 05/11/2025 00:00:42</t>
  </si>
  <si>
    <t>Nenhum registro de SPC encontrado - 05/11/2025 00:00:43</t>
  </si>
  <si>
    <t>Nenhum registro de SPC encontrado - 05/11/2025 00:00:44</t>
  </si>
  <si>
    <t>Nenhum registro de SPC encontrado - 05/11/2025 00:00:45</t>
  </si>
  <si>
    <t>Nenhum registro de SPC encontrado - 05/11/2025 00:00:46</t>
  </si>
  <si>
    <t>Nenhum registro de SPC encontrado - 05/11/2025 00:00:47</t>
  </si>
  <si>
    <t>Nenhum registro de SPC encontrado - 05/11/2025 00:00:48</t>
  </si>
  <si>
    <t>Nenhum registro de SPC encontrado - 05/11/2025 00:00:49</t>
  </si>
  <si>
    <t>Nenhum registro de SPC encontrado - 05/11/2025 00:00:50</t>
  </si>
  <si>
    <t>Nenhum registro de SPC encontrado - 05/11/2025 00:00:51</t>
  </si>
  <si>
    <t>Nenhum registro de SPC encontrado - 05/11/2025 00:00:52</t>
  </si>
  <si>
    <t>Nenhum registro de SPC encontrado - 05/11/2025 00:00:53</t>
  </si>
  <si>
    <t>Nenhum registro de SPC encontrado - 05/11/2025 00:00:54</t>
  </si>
  <si>
    <t>Nenhum registro de SPC encontrado - 05/11/2025 00:00:55</t>
  </si>
  <si>
    <t>Nenhum registro de SPC encontrado - 05/11/2025 00:00:56</t>
  </si>
  <si>
    <t>Nenhum registro de SPC encontrado - 05/11/2025 00:00:57</t>
  </si>
  <si>
    <t>Nenhum registro de SPC encontrado - 05/11/2025 00:00:58</t>
  </si>
  <si>
    <t>Nenhum registro de SPC encontrado - 05/11/2025 00:00:59</t>
  </si>
  <si>
    <t>Nenhum registro de SPC encontrado - 05/11/2025 00:00:60</t>
  </si>
  <si>
    <t>Nenhum registro de SPC encontrado - 05/11/2025 00:00:61</t>
  </si>
  <si>
    <t>Nenhum registro de SPC encontrado - 05/11/2025 00:00:62</t>
  </si>
  <si>
    <t>Nenhum registro de SPC encontrado - 05/11/2025 00:00:63</t>
  </si>
  <si>
    <t>Nenhum registro de SPC encontrado - 05/11/2025 00:00:64</t>
  </si>
  <si>
    <t>Nenhum registro de SPC encontrado - 05/11/2025 00:00:65</t>
  </si>
  <si>
    <t>Nenhum registro de SPC encontrado - 05/11/2025 00:00:66</t>
  </si>
  <si>
    <t>Nenhum registro de SPC encontrado - 05/11/2025 00:00:67</t>
  </si>
  <si>
    <t>PF / CNPJ</t>
  </si>
  <si>
    <t>REMOVIDO SEM DATA RESGISTRADA</t>
  </si>
  <si>
    <t>NÃO VERIFICADO</t>
  </si>
  <si>
    <t>00988674319</t>
  </si>
  <si>
    <t>00343409399</t>
  </si>
  <si>
    <t>03537238355</t>
  </si>
  <si>
    <t>05175063359</t>
  </si>
  <si>
    <t>00450422259</t>
  </si>
  <si>
    <t>19074753000170</t>
  </si>
  <si>
    <t>47071064000147</t>
  </si>
  <si>
    <t>26411474000110</t>
  </si>
  <si>
    <t>31770384000155</t>
  </si>
  <si>
    <t>41269174000131</t>
  </si>
  <si>
    <t>49973562000100</t>
  </si>
  <si>
    <t>31666475000145</t>
  </si>
  <si>
    <t>JÁ REMOVIDO ANTERIORMENTE</t>
  </si>
  <si>
    <t>REMOVIDO MANUALMENTE</t>
  </si>
  <si>
    <t>11938203000140</t>
  </si>
  <si>
    <t>17940805000118</t>
  </si>
  <si>
    <t>34685492000118</t>
  </si>
  <si>
    <t>42580669000140</t>
  </si>
  <si>
    <t>43052991000169</t>
  </si>
  <si>
    <t>50234249000130</t>
  </si>
  <si>
    <t>03932765389</t>
  </si>
  <si>
    <t>00362011389</t>
  </si>
  <si>
    <t>00598373306</t>
  </si>
  <si>
    <t>01752095375</t>
  </si>
  <si>
    <t>02798120357</t>
  </si>
  <si>
    <t>03147086348</t>
  </si>
  <si>
    <t>03382772183</t>
  </si>
  <si>
    <t>03519788365</t>
  </si>
  <si>
    <t>04026598306</t>
  </si>
  <si>
    <t>04839629374</t>
  </si>
  <si>
    <t>05911892324</t>
  </si>
  <si>
    <t>REMOVIDO MANUALMENTE - 21/11/2025</t>
  </si>
  <si>
    <t>04605019332</t>
  </si>
  <si>
    <t>05352840395</t>
  </si>
  <si>
    <t>01154237370</t>
  </si>
  <si>
    <t>DATA EXCLUSÃO</t>
  </si>
  <si>
    <t>03010869312</t>
  </si>
  <si>
    <t>04991872375</t>
  </si>
  <si>
    <t>03041708361</t>
  </si>
  <si>
    <t>10/03/2025</t>
  </si>
  <si>
    <t>10/05/2025</t>
  </si>
  <si>
    <t>10/06/2025</t>
  </si>
  <si>
    <t>20/06/2025</t>
  </si>
  <si>
    <t>10/07/2025</t>
  </si>
  <si>
    <t>20/07/2025</t>
  </si>
  <si>
    <t>10/08/2025</t>
  </si>
  <si>
    <t>30/08/2025</t>
  </si>
  <si>
    <t>10/09/2025</t>
  </si>
  <si>
    <t>25/08/2025</t>
  </si>
  <si>
    <t>20/08/2025</t>
  </si>
  <si>
    <t>10/11/2020</t>
  </si>
  <si>
    <t>30/06/2021</t>
  </si>
  <si>
    <t>10/08/2021</t>
  </si>
  <si>
    <t>10/09/2021</t>
  </si>
  <si>
    <t>10/11/2021</t>
  </si>
  <si>
    <t>10/12/2021</t>
  </si>
  <si>
    <t>10/01/2022</t>
  </si>
  <si>
    <t>10/03/2022</t>
  </si>
  <si>
    <t>10/04/2022</t>
  </si>
  <si>
    <t>10/05/2022</t>
  </si>
  <si>
    <t>10/06/2022</t>
  </si>
  <si>
    <t>20/06/2022</t>
  </si>
  <si>
    <t>20/07/2022</t>
  </si>
  <si>
    <t>10/08/2022</t>
  </si>
  <si>
    <t>10/09/2022</t>
  </si>
  <si>
    <t>10/11/2022</t>
  </si>
  <si>
    <t>10/12/2022</t>
  </si>
  <si>
    <t>10/01/2023</t>
  </si>
  <si>
    <t>10/02/2023</t>
  </si>
  <si>
    <t>10/03/2023</t>
  </si>
  <si>
    <t>10/04/2023</t>
  </si>
  <si>
    <t>20/05/2023</t>
  </si>
  <si>
    <t>10/05/2023</t>
  </si>
  <si>
    <t>10/06/2023</t>
  </si>
  <si>
    <t>10/07/2023</t>
  </si>
  <si>
    <t>10/08/2023</t>
  </si>
  <si>
    <t>10/09/2023</t>
  </si>
  <si>
    <t>30/09/2023</t>
  </si>
  <si>
    <t>30/10/2023</t>
  </si>
  <si>
    <t>10/11/2023</t>
  </si>
  <si>
    <t>10/12/2023</t>
  </si>
  <si>
    <t>10/01/2024</t>
  </si>
  <si>
    <t>30/01/2024</t>
  </si>
  <si>
    <t>10/02/2024</t>
  </si>
  <si>
    <t>29/02/2024</t>
  </si>
  <si>
    <t>10/03/2024</t>
  </si>
  <si>
    <t>20/03/2024</t>
  </si>
  <si>
    <t>10/04/2024</t>
  </si>
  <si>
    <t>20/04/2024</t>
  </si>
  <si>
    <t>20/05/2024</t>
  </si>
  <si>
    <t>05/06/2025</t>
  </si>
  <si>
    <t>05/07/2025</t>
  </si>
  <si>
    <t>05/08/2025</t>
  </si>
  <si>
    <t>13671000000000</t>
  </si>
  <si>
    <t>13671048000173</t>
  </si>
  <si>
    <t>Nenhum registro de SPC encontrado - 26/11/2025 00:00:06</t>
  </si>
  <si>
    <t>Nenhum registro de SPC encontrado - 26/11/2025 00:00:05</t>
  </si>
  <si>
    <t>Nenhum registro de SPC encontrado - 26/11/2025 00:00:04</t>
  </si>
  <si>
    <t>295,55</t>
  </si>
  <si>
    <t>004.627.733-10</t>
  </si>
  <si>
    <t>30/12/2020</t>
  </si>
  <si>
    <t>212,68</t>
  </si>
  <si>
    <t>28/02/2021</t>
  </si>
  <si>
    <t>87,20</t>
  </si>
  <si>
    <t>20/01/2021</t>
  </si>
  <si>
    <t>157,07</t>
  </si>
  <si>
    <t>EXCLUSÃO EFETIVADA COM SUCESSO - MANUALMENTE</t>
  </si>
  <si>
    <t>290,29</t>
  </si>
  <si>
    <t>274,60</t>
  </si>
  <si>
    <t>374,04</t>
  </si>
  <si>
    <t>20/09/2025</t>
  </si>
  <si>
    <t>292,18</t>
  </si>
  <si>
    <t>05679219301</t>
  </si>
  <si>
    <t>323,89</t>
  </si>
  <si>
    <t>06862627001290</t>
  </si>
  <si>
    <t>06862627003234</t>
  </si>
  <si>
    <t>06862627012063</t>
  </si>
  <si>
    <t>06862627021216</t>
  </si>
  <si>
    <t>06862627033060</t>
  </si>
  <si>
    <t>05/09/2025</t>
  </si>
  <si>
    <t>14690277000106</t>
  </si>
  <si>
    <t>37603451000123</t>
  </si>
  <si>
    <t>27810793000160</t>
  </si>
  <si>
    <t>37382968000130</t>
  </si>
  <si>
    <t>1266,10</t>
  </si>
  <si>
    <t>1948,50</t>
  </si>
  <si>
    <t>278,46</t>
  </si>
  <si>
    <t>116,19</t>
  </si>
  <si>
    <t>284,59</t>
  </si>
  <si>
    <t>1239,39</t>
  </si>
  <si>
    <t>303,49</t>
  </si>
  <si>
    <t>04977123344</t>
  </si>
  <si>
    <t>445,69</t>
  </si>
  <si>
    <t>15/09/2025</t>
  </si>
  <si>
    <t>1599,46</t>
  </si>
  <si>
    <t>01213367352</t>
  </si>
  <si>
    <t>193,62</t>
  </si>
  <si>
    <t>03738803327</t>
  </si>
  <si>
    <t>340,56</t>
  </si>
  <si>
    <t>25/09/2025</t>
  </si>
  <si>
    <t>518,65</t>
  </si>
  <si>
    <t>312,30</t>
  </si>
  <si>
    <t>04960293128</t>
  </si>
  <si>
    <t>333,53</t>
  </si>
  <si>
    <t>36,00</t>
  </si>
  <si>
    <t>1751,73</t>
  </si>
  <si>
    <t>00694035386</t>
  </si>
  <si>
    <t>780,32</t>
  </si>
  <si>
    <t>00114635110</t>
  </si>
  <si>
    <t>765,37</t>
  </si>
  <si>
    <t>1533,28</t>
  </si>
  <si>
    <t>1813,91</t>
  </si>
  <si>
    <t>53590533000137</t>
  </si>
  <si>
    <t>556,18</t>
  </si>
  <si>
    <t>20/05/2025</t>
  </si>
  <si>
    <t>1028,37</t>
  </si>
  <si>
    <t>1741,06</t>
  </si>
  <si>
    <t>256,83</t>
  </si>
  <si>
    <t>278,84</t>
  </si>
  <si>
    <t>205,35</t>
  </si>
  <si>
    <t>02684610312</t>
  </si>
  <si>
    <t>634,99</t>
  </si>
  <si>
    <t>03895246204</t>
  </si>
  <si>
    <t>1367,01</t>
  </si>
  <si>
    <t>10/02/2022</t>
  </si>
  <si>
    <t>246,38</t>
  </si>
  <si>
    <t>00214771326</t>
  </si>
  <si>
    <t>55910</t>
  </si>
  <si>
    <t>30/06/2025</t>
  </si>
  <si>
    <t>960,96</t>
  </si>
  <si>
    <t>59587</t>
  </si>
  <si>
    <t>293,97</t>
  </si>
  <si>
    <t>30/07/2025</t>
  </si>
  <si>
    <t>47120370000126</t>
  </si>
  <si>
    <t>4546</t>
  </si>
  <si>
    <t>891,60</t>
  </si>
  <si>
    <t>4402</t>
  </si>
  <si>
    <t>800,83</t>
  </si>
  <si>
    <t>DATA REMOÇÃO</t>
  </si>
  <si>
    <t xml:space="preserve">Nenhum registro de SPC encontrado - 04/11/2025 </t>
  </si>
  <si>
    <t xml:space="preserve">Nenhum registro de SPC encontrado - 05/11/2025 </t>
  </si>
  <si>
    <t xml:space="preserve">removidos - 30/10/2025 </t>
  </si>
  <si>
    <t xml:space="preserve">Nenhum registro de SPC encontrado - 12/11/2025 </t>
  </si>
  <si>
    <t xml:space="preserve">Nenhum registro de SPC encontrado - 17/11/2025 </t>
  </si>
  <si>
    <t xml:space="preserve">Nenhum registro de SPC encontrado - 21/11/2025 </t>
  </si>
  <si>
    <t xml:space="preserve">Nenhum registro de SPC encontrado - 24/11/2025 </t>
  </si>
  <si>
    <t xml:space="preserve">Nenhum registro de SPC encontrado - 26/11/2025 </t>
  </si>
  <si>
    <t xml:space="preserve">Nenhum registro de SPC encontrado - 01/12/2025 </t>
  </si>
  <si>
    <t xml:space="preserve">Nenhum registro de SPC encontrado - 03/12/2025 </t>
  </si>
  <si>
    <t xml:space="preserve">Nenhum registro de SPC encontrado - 07/11/2025 </t>
  </si>
  <si>
    <t xml:space="preserve">Nenhum registro de SPC encontrado - 28/11/2025 </t>
  </si>
  <si>
    <t xml:space="preserve">Nenhum registro de SPC encontrado - 04/12/2025 </t>
  </si>
  <si>
    <t>NÃO INFORMADO</t>
  </si>
  <si>
    <t>81047606372</t>
  </si>
  <si>
    <t>15315</t>
  </si>
  <si>
    <t>30/09/2025</t>
  </si>
  <si>
    <t>283,70</t>
  </si>
  <si>
    <t>04194759311</t>
  </si>
  <si>
    <t>67537</t>
  </si>
  <si>
    <t>222,20</t>
  </si>
  <si>
    <t>67209920315</t>
  </si>
  <si>
    <t>68534</t>
  </si>
  <si>
    <t>1195,89</t>
  </si>
  <si>
    <t>57687412320</t>
  </si>
  <si>
    <t>14722</t>
  </si>
  <si>
    <t>393,64</t>
  </si>
  <si>
    <t>61035280388</t>
  </si>
  <si>
    <t>66195</t>
  </si>
  <si>
    <t>226,67</t>
  </si>
  <si>
    <t>25227238391</t>
  </si>
  <si>
    <t>71937</t>
  </si>
  <si>
    <t>295,16</t>
  </si>
  <si>
    <t>71936</t>
  </si>
  <si>
    <t>311,60</t>
  </si>
  <si>
    <t>04691789308</t>
  </si>
  <si>
    <t>72325</t>
  </si>
  <si>
    <t>215,25</t>
  </si>
  <si>
    <t>05138687395</t>
  </si>
  <si>
    <t>71521</t>
  </si>
  <si>
    <t>851,92</t>
  </si>
  <si>
    <t>02610832362</t>
  </si>
  <si>
    <t>52341</t>
  </si>
  <si>
    <t>352,08</t>
  </si>
  <si>
    <t>02518778330</t>
  </si>
  <si>
    <t>59219</t>
  </si>
  <si>
    <t>947,49</t>
  </si>
  <si>
    <t>78129362368</t>
  </si>
  <si>
    <t>44945</t>
  </si>
  <si>
    <t>458,80</t>
  </si>
  <si>
    <t>00287977366</t>
  </si>
  <si>
    <t>67579</t>
  </si>
  <si>
    <t>313,40</t>
  </si>
  <si>
    <t>96564156391</t>
  </si>
  <si>
    <t>68130</t>
  </si>
  <si>
    <t>618,43</t>
  </si>
  <si>
    <t>31132677491</t>
  </si>
  <si>
    <t>67121</t>
  </si>
  <si>
    <t>538,61</t>
  </si>
  <si>
    <t>04866303310</t>
  </si>
  <si>
    <t>63777</t>
  </si>
  <si>
    <t>359,63</t>
  </si>
  <si>
    <t>26878240387</t>
  </si>
  <si>
    <t>61861</t>
  </si>
  <si>
    <t>355,32</t>
  </si>
  <si>
    <t>00027245373</t>
  </si>
  <si>
    <t>68391</t>
  </si>
  <si>
    <t>255,98</t>
  </si>
  <si>
    <t>00616779305</t>
  </si>
  <si>
    <t>44459</t>
  </si>
  <si>
    <t>193,66</t>
  </si>
  <si>
    <t>62716689334</t>
  </si>
  <si>
    <t>14283</t>
  </si>
  <si>
    <t>275,44</t>
  </si>
  <si>
    <t>22471626300</t>
  </si>
  <si>
    <t>59212</t>
  </si>
  <si>
    <t>402,39</t>
  </si>
  <si>
    <t>40260267368</t>
  </si>
  <si>
    <t>62359</t>
  </si>
  <si>
    <t>786,84</t>
  </si>
  <si>
    <t>62474456368</t>
  </si>
  <si>
    <t>64828</t>
  </si>
  <si>
    <t>477,97</t>
  </si>
  <si>
    <t>22999655304</t>
  </si>
  <si>
    <t>59217</t>
  </si>
  <si>
    <t>373,42</t>
  </si>
  <si>
    <t>59231</t>
  </si>
  <si>
    <t>01531455794</t>
  </si>
  <si>
    <t>69457</t>
  </si>
  <si>
    <t>798,29</t>
  </si>
  <si>
    <t>00772256357</t>
  </si>
  <si>
    <t>71768</t>
  </si>
  <si>
    <t>174,82</t>
  </si>
  <si>
    <t>61692743368</t>
  </si>
  <si>
    <t>40400</t>
  </si>
  <si>
    <t>1089,44</t>
  </si>
  <si>
    <t>84386525300</t>
  </si>
  <si>
    <t>68296</t>
  </si>
  <si>
    <t>458,77</t>
  </si>
  <si>
    <t>03501203314</t>
  </si>
  <si>
    <t>71578</t>
  </si>
  <si>
    <t>251,01</t>
  </si>
  <si>
    <t>85078140182</t>
  </si>
  <si>
    <t>32501</t>
  </si>
  <si>
    <t>438,62</t>
  </si>
  <si>
    <t>04909192352</t>
  </si>
  <si>
    <t>70872</t>
  </si>
  <si>
    <t>218,61</t>
  </si>
  <si>
    <t>02983103331</t>
  </si>
  <si>
    <t>56202</t>
  </si>
  <si>
    <t>635,71</t>
  </si>
  <si>
    <t>05601566348</t>
  </si>
  <si>
    <t>68779</t>
  </si>
  <si>
    <t>658,69</t>
  </si>
  <si>
    <t>61121369375</t>
  </si>
  <si>
    <t>71029</t>
  </si>
  <si>
    <t>343,27</t>
  </si>
  <si>
    <t>05165388379</t>
  </si>
  <si>
    <t>66365</t>
  </si>
  <si>
    <t>64221784334</t>
  </si>
  <si>
    <t>67206</t>
  </si>
  <si>
    <t>243,20</t>
  </si>
  <si>
    <t>61042</t>
  </si>
  <si>
    <t>365,27</t>
  </si>
  <si>
    <t>99436639287</t>
  </si>
  <si>
    <t>62476</t>
  </si>
  <si>
    <t>464,09</t>
  </si>
  <si>
    <t>01440289301</t>
  </si>
  <si>
    <t>66973</t>
  </si>
  <si>
    <t>244,60</t>
  </si>
  <si>
    <t>60334188326</t>
  </si>
  <si>
    <t>51859</t>
  </si>
  <si>
    <t>20/12/2020</t>
  </si>
  <si>
    <t>261,96</t>
  </si>
  <si>
    <t>61612</t>
  </si>
  <si>
    <t>239,30</t>
  </si>
  <si>
    <t>30/01/2021</t>
  </si>
  <si>
    <t>60720180333</t>
  </si>
  <si>
    <t>67069</t>
  </si>
  <si>
    <t>30/04/2024</t>
  </si>
  <si>
    <t>296,17</t>
  </si>
  <si>
    <t>Nenhum registro de SPC encontrado - 10/12/2025 00:00:00</t>
  </si>
  <si>
    <t>41430621000192</t>
  </si>
  <si>
    <t>18412537000124</t>
  </si>
  <si>
    <t>45167900000166</t>
  </si>
  <si>
    <t>16539023000109</t>
  </si>
  <si>
    <t>05512076000110</t>
  </si>
  <si>
    <t>04440501000140</t>
  </si>
  <si>
    <t>01050695313</t>
  </si>
  <si>
    <t>52359</t>
  </si>
  <si>
    <t>62395521353</t>
  </si>
  <si>
    <t>72338</t>
  </si>
  <si>
    <t>269,23</t>
  </si>
  <si>
    <t>285,55</t>
  </si>
  <si>
    <t>01474082378</t>
  </si>
  <si>
    <t>43874</t>
  </si>
  <si>
    <t>313,45</t>
  </si>
  <si>
    <t>00272518298</t>
  </si>
  <si>
    <t>56466</t>
  </si>
  <si>
    <t>407,94</t>
  </si>
  <si>
    <t>56462</t>
  </si>
  <si>
    <t>599,39</t>
  </si>
  <si>
    <t>40198600330</t>
  </si>
  <si>
    <t>62275</t>
  </si>
  <si>
    <t>341,13</t>
  </si>
  <si>
    <t>41333756372</t>
  </si>
  <si>
    <t>49011</t>
  </si>
  <si>
    <t>10/10/2025</t>
  </si>
  <si>
    <t>315,01</t>
  </si>
  <si>
    <t>00246307307</t>
  </si>
  <si>
    <t>12010</t>
  </si>
  <si>
    <t>945,87</t>
  </si>
  <si>
    <t>91581117353</t>
  </si>
  <si>
    <t>61839</t>
  </si>
  <si>
    <t>339,77</t>
  </si>
  <si>
    <t>69769532304</t>
  </si>
  <si>
    <t>68551</t>
  </si>
  <si>
    <t>340,87</t>
  </si>
  <si>
    <t>64020231320</t>
  </si>
  <si>
    <t>11639</t>
  </si>
  <si>
    <t>295,02</t>
  </si>
  <si>
    <t>69525</t>
  </si>
  <si>
    <t>68078</t>
  </si>
  <si>
    <t>458,43</t>
  </si>
  <si>
    <t>61416878300</t>
  </si>
  <si>
    <t>69551</t>
  </si>
  <si>
    <t>728,84</t>
  </si>
  <si>
    <t>02699302309</t>
  </si>
  <si>
    <t>69152</t>
  </si>
  <si>
    <t>148,10</t>
  </si>
  <si>
    <t>64775526391</t>
  </si>
  <si>
    <t>61465</t>
  </si>
  <si>
    <t>272,39</t>
  </si>
  <si>
    <t>03035444307</t>
  </si>
  <si>
    <t>56519</t>
  </si>
  <si>
    <t>61027421253</t>
  </si>
  <si>
    <t>43631</t>
  </si>
  <si>
    <t>573,84</t>
  </si>
  <si>
    <t>40202577287</t>
  </si>
  <si>
    <t>58508</t>
  </si>
  <si>
    <t>575,90</t>
  </si>
  <si>
    <t>43633641300</t>
  </si>
  <si>
    <t>71432</t>
  </si>
  <si>
    <t>69334</t>
  </si>
  <si>
    <t>1302,87</t>
  </si>
  <si>
    <t>72173</t>
  </si>
  <si>
    <t>357,55</t>
  </si>
  <si>
    <t>27121274000195</t>
  </si>
  <si>
    <t>2164</t>
  </si>
  <si>
    <t>1808,70</t>
  </si>
  <si>
    <t>08811992000149</t>
  </si>
  <si>
    <t>4511</t>
  </si>
  <si>
    <t>1942,83</t>
  </si>
  <si>
    <t>36072630000119</t>
  </si>
  <si>
    <t>4729</t>
  </si>
  <si>
    <t>2081,21</t>
  </si>
  <si>
    <t>64683508320</t>
  </si>
  <si>
    <t>65451</t>
  </si>
  <si>
    <t>664,21</t>
  </si>
  <si>
    <t>704,46</t>
  </si>
  <si>
    <t>03362561322</t>
  </si>
  <si>
    <t>70980</t>
  </si>
  <si>
    <t>00319231356</t>
  </si>
  <si>
    <t>42930</t>
  </si>
  <si>
    <t>1030,12</t>
  </si>
  <si>
    <t>00183587308</t>
  </si>
  <si>
    <t>71636</t>
  </si>
  <si>
    <t>306,27</t>
  </si>
  <si>
    <t>00791737306</t>
  </si>
  <si>
    <t>47476</t>
  </si>
  <si>
    <t>570,28</t>
  </si>
  <si>
    <t>91120284368</t>
  </si>
  <si>
    <t>69142</t>
  </si>
  <si>
    <t>419,81</t>
  </si>
  <si>
    <t>19314930734</t>
  </si>
  <si>
    <t>56836</t>
  </si>
  <si>
    <t>1522,00</t>
  </si>
  <si>
    <t>78124999104</t>
  </si>
  <si>
    <t>51486</t>
  </si>
  <si>
    <t>298,75</t>
  </si>
  <si>
    <t>46689087387</t>
  </si>
  <si>
    <t>57241</t>
  </si>
  <si>
    <t>475,89</t>
  </si>
  <si>
    <t>59976</t>
  </si>
  <si>
    <t>02898905000156</t>
  </si>
  <si>
    <t>2880</t>
  </si>
  <si>
    <t>2166,53</t>
  </si>
  <si>
    <t>Nenhum registro de SPC encontrado - 12/12/2025 00:00:00</t>
  </si>
  <si>
    <t>60334412307</t>
  </si>
  <si>
    <t>61024</t>
  </si>
  <si>
    <t>408,45</t>
  </si>
  <si>
    <t>33612269100</t>
  </si>
  <si>
    <t>33795</t>
  </si>
  <si>
    <t>571,46</t>
  </si>
  <si>
    <t>01028571305</t>
  </si>
  <si>
    <t>49293</t>
  </si>
  <si>
    <t>479,13</t>
  </si>
  <si>
    <t>86510533200</t>
  </si>
  <si>
    <t>48089</t>
  </si>
  <si>
    <t>188,65</t>
  </si>
  <si>
    <t>06650444375</t>
  </si>
  <si>
    <t>72313</t>
  </si>
  <si>
    <t>393,55</t>
  </si>
  <si>
    <t>41102</t>
  </si>
  <si>
    <t>689,72</t>
  </si>
  <si>
    <t>55806627349</t>
  </si>
  <si>
    <t>57466</t>
  </si>
  <si>
    <t>1275,76</t>
  </si>
  <si>
    <t>32842600304</t>
  </si>
  <si>
    <t>11419</t>
  </si>
  <si>
    <t>284,48</t>
  </si>
  <si>
    <t>07085972000175</t>
  </si>
  <si>
    <t>4533</t>
  </si>
  <si>
    <t>05/10/2025</t>
  </si>
  <si>
    <t>1519,12</t>
  </si>
  <si>
    <t>44074890000151</t>
  </si>
  <si>
    <t>4808</t>
  </si>
  <si>
    <t>630,31</t>
  </si>
  <si>
    <t>Nenhum registro de SPC encontrado - 15/12/2025 09:25:45</t>
  </si>
  <si>
    <t>15/12/2025 09:25:45</t>
  </si>
  <si>
    <t>15/12/2025 09:34:23</t>
  </si>
  <si>
    <t>35162625000134</t>
  </si>
  <si>
    <t>4817</t>
  </si>
  <si>
    <t>1530,23</t>
  </si>
  <si>
    <t>07966942000178</t>
  </si>
  <si>
    <t>889</t>
  </si>
  <si>
    <t>2184,29</t>
  </si>
  <si>
    <t>4196</t>
  </si>
  <si>
    <t>726,58</t>
  </si>
  <si>
    <t>22/12/2025 09:47:47</t>
  </si>
  <si>
    <t>00653481250</t>
  </si>
  <si>
    <t>63817</t>
  </si>
  <si>
    <t>30/05/2021</t>
  </si>
  <si>
    <t>37,49</t>
  </si>
  <si>
    <t>78793149387</t>
  </si>
  <si>
    <t>69835</t>
  </si>
  <si>
    <t>135,07</t>
  </si>
  <si>
    <t>44266774591</t>
  </si>
  <si>
    <t>41257</t>
  </si>
  <si>
    <t>30/07/2022</t>
  </si>
  <si>
    <t>26,12</t>
  </si>
  <si>
    <t>30/08/2022</t>
  </si>
  <si>
    <t>10,50</t>
  </si>
  <si>
    <t>62187827356</t>
  </si>
  <si>
    <t>72148</t>
  </si>
  <si>
    <t>20/06/2023</t>
  </si>
  <si>
    <t>251,83</t>
  </si>
  <si>
    <t>20/07/2023</t>
  </si>
  <si>
    <t>Nenhum registro de SPC encontrado - 22/12/2025 10:28:01</t>
  </si>
  <si>
    <t>00257951202</t>
  </si>
  <si>
    <t>71231</t>
  </si>
  <si>
    <t>20/04/2025</t>
  </si>
  <si>
    <t>588,72</t>
  </si>
  <si>
    <t>62888501368</t>
  </si>
  <si>
    <t>71443</t>
  </si>
  <si>
    <t>310,85</t>
  </si>
  <si>
    <t>71447</t>
  </si>
  <si>
    <t>648,30</t>
  </si>
  <si>
    <t>61143133307</t>
  </si>
  <si>
    <t>2498</t>
  </si>
  <si>
    <t>30/05/2025</t>
  </si>
  <si>
    <t>247,15</t>
  </si>
  <si>
    <t>00385925336</t>
  </si>
  <si>
    <t>70570</t>
  </si>
  <si>
    <t>238,07</t>
  </si>
  <si>
    <t>649,83</t>
  </si>
  <si>
    <t>60684911370</t>
  </si>
  <si>
    <t>72265</t>
  </si>
  <si>
    <t>1145,23</t>
  </si>
  <si>
    <t>03968730305</t>
  </si>
  <si>
    <t>44595</t>
  </si>
  <si>
    <t>358,95</t>
  </si>
  <si>
    <t>53476</t>
  </si>
  <si>
    <t>624,40</t>
  </si>
  <si>
    <t>329,69</t>
  </si>
  <si>
    <t>838,51</t>
  </si>
  <si>
    <t>26526344372</t>
  </si>
  <si>
    <t>32562</t>
  </si>
  <si>
    <t>572,15</t>
  </si>
  <si>
    <t>436,00</t>
  </si>
  <si>
    <t>74283685372</t>
  </si>
  <si>
    <t>49910</t>
  </si>
  <si>
    <t>00566867303</t>
  </si>
  <si>
    <t>37441</t>
  </si>
  <si>
    <t>93171285304</t>
  </si>
  <si>
    <t>60557</t>
  </si>
  <si>
    <t>03087886300</t>
  </si>
  <si>
    <t>33937</t>
  </si>
  <si>
    <t>65802934204</t>
  </si>
  <si>
    <t>59296</t>
  </si>
  <si>
    <t>62357811307</t>
  </si>
  <si>
    <t>37152</t>
  </si>
  <si>
    <t>252,52</t>
  </si>
  <si>
    <t>64538346349</t>
  </si>
  <si>
    <t>49318</t>
  </si>
  <si>
    <t>01298202370</t>
  </si>
  <si>
    <t>63412</t>
  </si>
  <si>
    <t>321,64</t>
  </si>
  <si>
    <t>82215391391</t>
  </si>
  <si>
    <t>16066</t>
  </si>
  <si>
    <t>15/10/2025</t>
  </si>
  <si>
    <t>1091,22</t>
  </si>
  <si>
    <t>10223140767</t>
  </si>
  <si>
    <t>60109</t>
  </si>
  <si>
    <t>1261,24</t>
  </si>
  <si>
    <t>41121</t>
  </si>
  <si>
    <t>03828304311</t>
  </si>
  <si>
    <t>41659</t>
  </si>
  <si>
    <t>1125,19</t>
  </si>
  <si>
    <t>64590917300</t>
  </si>
  <si>
    <t>45213</t>
  </si>
  <si>
    <t>264,08</t>
  </si>
  <si>
    <t>42043</t>
  </si>
  <si>
    <t>240,05</t>
  </si>
  <si>
    <t>04267981396</t>
  </si>
  <si>
    <t>51101</t>
  </si>
  <si>
    <t>62287273387</t>
  </si>
  <si>
    <t>11665</t>
  </si>
  <si>
    <t>678,68</t>
  </si>
  <si>
    <t>93437676334</t>
  </si>
  <si>
    <t>69847</t>
  </si>
  <si>
    <t>256,97</t>
  </si>
  <si>
    <t>64892689300</t>
  </si>
  <si>
    <t>52388</t>
  </si>
  <si>
    <t>616,57</t>
  </si>
  <si>
    <t>69054</t>
  </si>
  <si>
    <t>323,14</t>
  </si>
  <si>
    <t>64564</t>
  </si>
  <si>
    <t>300,41</t>
  </si>
  <si>
    <t>27823806304</t>
  </si>
  <si>
    <t>58157</t>
  </si>
  <si>
    <t>1702,34</t>
  </si>
  <si>
    <t>00451449150</t>
  </si>
  <si>
    <t>69285</t>
  </si>
  <si>
    <t>214,26</t>
  </si>
  <si>
    <t>52340619220</t>
  </si>
  <si>
    <t>71585</t>
  </si>
  <si>
    <t>535,43</t>
  </si>
  <si>
    <t>91079594353</t>
  </si>
  <si>
    <t>71487</t>
  </si>
  <si>
    <t>1394,40</t>
  </si>
  <si>
    <t>79704255349</t>
  </si>
  <si>
    <t>66048</t>
  </si>
  <si>
    <t>05491151378</t>
  </si>
  <si>
    <t>40601</t>
  </si>
  <si>
    <t>299,64</t>
  </si>
  <si>
    <t>46686878391</t>
  </si>
  <si>
    <t>52130</t>
  </si>
  <si>
    <t>37220152272</t>
  </si>
  <si>
    <t>61813</t>
  </si>
  <si>
    <t>05136576308</t>
  </si>
  <si>
    <t>72494</t>
  </si>
  <si>
    <t>385,44</t>
  </si>
  <si>
    <t>71170</t>
  </si>
  <si>
    <t>02060252385</t>
  </si>
  <si>
    <t>68844</t>
  </si>
  <si>
    <t>353,74</t>
  </si>
  <si>
    <t>24/12/2025 14:18:24</t>
  </si>
  <si>
    <t>10649355000160</t>
  </si>
  <si>
    <t>51038528000190</t>
  </si>
  <si>
    <t>49062741000196</t>
  </si>
  <si>
    <t>51048000000100</t>
  </si>
  <si>
    <t>17370435000120</t>
  </si>
  <si>
    <t>45034718000137</t>
  </si>
  <si>
    <t>47183871000151</t>
  </si>
  <si>
    <t>21734040000137</t>
  </si>
  <si>
    <t>29987504000129</t>
  </si>
  <si>
    <t>07006455000163</t>
  </si>
  <si>
    <t>24/12/2025 15:04:13</t>
  </si>
  <si>
    <t>Nenhum registro de SPC encontrado - 24/12/2025 15:04:13</t>
  </si>
  <si>
    <t>Sem Parcela</t>
  </si>
  <si>
    <t>1559,54</t>
  </si>
  <si>
    <t>43161</t>
  </si>
  <si>
    <t>03345500680</t>
  </si>
  <si>
    <t>213,72</t>
  </si>
  <si>
    <t>66362</t>
  </si>
  <si>
    <t>05817039362</t>
  </si>
  <si>
    <t>326,13</t>
  </si>
  <si>
    <t>60416</t>
  </si>
  <si>
    <t>52520579234</t>
  </si>
  <si>
    <t>2826,43</t>
  </si>
  <si>
    <t>1174</t>
  </si>
  <si>
    <t>24536473000176</t>
  </si>
  <si>
    <t>1318,87</t>
  </si>
  <si>
    <t>4375</t>
  </si>
  <si>
    <t>26389912000190</t>
  </si>
  <si>
    <t>26/12/2025 08:58:46</t>
  </si>
  <si>
    <t>26/12/2025 09:05:13</t>
  </si>
  <si>
    <t>03578765473</t>
  </si>
  <si>
    <t>66025</t>
  </si>
  <si>
    <t>259,42</t>
  </si>
  <si>
    <t>95093281115</t>
  </si>
  <si>
    <t>57166</t>
  </si>
  <si>
    <t>235,18</t>
  </si>
  <si>
    <t>60027171370</t>
  </si>
  <si>
    <t>69597</t>
  </si>
  <si>
    <t>60825487366</t>
  </si>
  <si>
    <t>59347</t>
  </si>
  <si>
    <t>311,78</t>
  </si>
  <si>
    <t>29121590320</t>
  </si>
  <si>
    <t>43885</t>
  </si>
  <si>
    <t>251,22</t>
  </si>
  <si>
    <t>84046821353</t>
  </si>
  <si>
    <t>48121</t>
  </si>
  <si>
    <t>02647976392</t>
  </si>
  <si>
    <t>37253</t>
  </si>
  <si>
    <t>65018486368</t>
  </si>
  <si>
    <t>32276</t>
  </si>
  <si>
    <t>193,11</t>
  </si>
  <si>
    <t>95658009391</t>
  </si>
  <si>
    <t>68365</t>
  </si>
  <si>
    <t>320,26</t>
  </si>
  <si>
    <t>48745189315</t>
  </si>
  <si>
    <t>16032</t>
  </si>
  <si>
    <t>310,10</t>
  </si>
  <si>
    <t>27634661848</t>
  </si>
  <si>
    <t>26651</t>
  </si>
  <si>
    <t>675,44</t>
  </si>
  <si>
    <t>19430130000192</t>
  </si>
  <si>
    <t>3857</t>
  </si>
  <si>
    <t>1900,50</t>
  </si>
  <si>
    <t>28340973000199</t>
  </si>
  <si>
    <t>591</t>
  </si>
  <si>
    <t>1396,17</t>
  </si>
  <si>
    <t>37102709000108</t>
  </si>
  <si>
    <t>2016</t>
  </si>
  <si>
    <t>1039,58</t>
  </si>
  <si>
    <t>29/12/2025 09:33:38</t>
  </si>
  <si>
    <t>29/12/2025 10:29:42</t>
  </si>
  <si>
    <t>29/12/2025 10:29:41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</si>
</sst>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Trebuchet MS"/>
      <family val="2"/>
    </font>
    <font>
      <sz val="11"/>
      <color rgb="FFFF0000"/>
      <name val="Trebuchet MS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7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7" tint="0.59999389629810485"/>
        <bgColor theme="7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2" xfId="0" applyNumberFormat="1" applyFont="1" applyFill="1" applyBorder="1" applyAlignment="1">
      <alignment horizontal="right"/>
    </xf>
    <xf numFmtId="0" fontId="0" fillId="0" borderId="1" xfId="0" applyBorder="1"/>
    <xf numFmtId="0" fontId="0" fillId="0" borderId="2" xfId="0" applyBorder="1"/>
    <xf numFmtId="49" fontId="0" fillId="0" borderId="2" xfId="0" applyNumberFormat="1" applyBorder="1" applyAlignment="1">
      <alignment horizontal="right"/>
    </xf>
    <xf numFmtId="14" fontId="0" fillId="0" borderId="2" xfId="0" applyNumberFormat="1" applyBorder="1"/>
    <xf numFmtId="4" fontId="0" fillId="0" borderId="2" xfId="0" applyNumberFormat="1" applyBorder="1"/>
    <xf numFmtId="0" fontId="0" fillId="3" borderId="1" xfId="0" applyFill="1" applyBorder="1"/>
    <xf numFmtId="0" fontId="0" fillId="3" borderId="2" xfId="0" applyFill="1" applyBorder="1"/>
    <xf numFmtId="49" fontId="0" fillId="3" borderId="2" xfId="0" applyNumberFormat="1" applyFill="1" applyBorder="1" applyAlignment="1">
      <alignment horizontal="right"/>
    </xf>
    <xf numFmtId="14" fontId="0" fillId="3" borderId="2" xfId="0" applyNumberFormat="1" applyFill="1" applyBorder="1"/>
    <xf numFmtId="0" fontId="0" fillId="3" borderId="0" xfId="0" applyFill="1"/>
    <xf numFmtId="0" fontId="1" fillId="2" borderId="0" xfId="0" applyFont="1" applyFill="1"/>
    <xf numFmtId="0" fontId="1" fillId="4" borderId="2" xfId="0" applyFont="1" applyFill="1" applyBorder="1"/>
    <xf numFmtId="0" fontId="0" fillId="5" borderId="2" xfId="0" applyFill="1" applyBorder="1"/>
    <xf numFmtId="0" fontId="0" fillId="5" borderId="0" xfId="0" applyFill="1"/>
    <xf numFmtId="14" fontId="0" fillId="5" borderId="2" xfId="0" applyNumberFormat="1" applyFill="1" applyBorder="1"/>
    <xf numFmtId="49" fontId="1" fillId="4" borderId="2" xfId="0" applyNumberFormat="1" applyFont="1" applyFill="1" applyBorder="1" applyAlignment="1">
      <alignment horizontal="right"/>
    </xf>
    <xf numFmtId="49" fontId="0" fillId="5" borderId="2" xfId="0" applyNumberFormat="1" applyFill="1" applyBorder="1" applyAlignment="1">
      <alignment horizontal="right"/>
    </xf>
    <xf numFmtId="0" fontId="4" fillId="0" borderId="0" xfId="0" applyFont="1"/>
    <xf numFmtId="49" fontId="0" fillId="7" borderId="2" xfId="0" applyNumberFormat="1" applyFill="1" applyBorder="1" applyAlignment="1">
      <alignment horizontal="right"/>
    </xf>
    <xf numFmtId="49" fontId="0" fillId="7" borderId="3" xfId="0" applyNumberFormat="1" applyFill="1" applyBorder="1" applyAlignment="1">
      <alignment horizontal="right"/>
    </xf>
    <xf numFmtId="0" fontId="0" fillId="6" borderId="2" xfId="0" applyFill="1" applyBorder="1"/>
    <xf numFmtId="0" fontId="2" fillId="0" borderId="5" xfId="1" applyBorder="1"/>
    <xf numFmtId="0" fontId="2" fillId="0" borderId="1" xfId="1" applyBorder="1"/>
    <xf numFmtId="0" fontId="2" fillId="0" borderId="2" xfId="1" applyBorder="1"/>
    <xf numFmtId="0" fontId="0" fillId="0" borderId="2" xfId="0" applyBorder="1" applyAlignment="1">
      <alignment horizontal="right"/>
    </xf>
    <xf numFmtId="22" fontId="0" fillId="0" borderId="0" xfId="0" applyNumberFormat="1"/>
    <xf numFmtId="0" fontId="0" fillId="9" borderId="2" xfId="0" applyFill="1" applyBorder="1" applyAlignment="1">
      <alignment horizontal="right"/>
    </xf>
    <xf numFmtId="164" fontId="0" fillId="10" borderId="2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0" fontId="0" fillId="7" borderId="5" xfId="0" applyFill="1" applyBorder="1" applyAlignment="1">
      <alignment horizontal="right"/>
    </xf>
    <xf numFmtId="0" fontId="0" fillId="7" borderId="7" xfId="0" applyFill="1" applyBorder="1" applyAlignment="1">
      <alignment horizontal="right"/>
    </xf>
    <xf numFmtId="49" fontId="0" fillId="9" borderId="2" xfId="0" applyNumberFormat="1" applyFill="1" applyBorder="1" applyAlignment="1">
      <alignment horizontal="right"/>
    </xf>
    <xf numFmtId="49" fontId="0" fillId="7" borderId="5" xfId="0" applyNumberFormat="1" applyFill="1" applyBorder="1" applyAlignment="1">
      <alignment horizontal="right"/>
    </xf>
    <xf numFmtId="49" fontId="0" fillId="7" borderId="7" xfId="0" applyNumberFormat="1" applyFill="1" applyBorder="1" applyAlignment="1">
      <alignment horizontal="right"/>
    </xf>
    <xf numFmtId="14" fontId="0" fillId="0" borderId="0" xfId="0" applyNumberFormat="1"/>
    <xf numFmtId="0" fontId="0" fillId="11" borderId="5" xfId="0" applyFill="1" applyBorder="1" applyAlignment="1">
      <alignment horizontal="right"/>
    </xf>
    <xf numFmtId="0" fontId="0" fillId="11" borderId="7" xfId="0" applyFill="1" applyBorder="1" applyAlignment="1">
      <alignment horizontal="right"/>
    </xf>
    <xf numFmtId="49" fontId="0" fillId="0" borderId="0" xfId="0" applyNumberFormat="1" applyAlignment="1">
      <alignment horizontal="right"/>
    </xf>
    <xf numFmtId="49" fontId="1" fillId="12" borderId="2" xfId="0" applyNumberFormat="1" applyFont="1" applyFill="1" applyBorder="1" applyAlignment="1">
      <alignment horizontal="right"/>
    </xf>
    <xf numFmtId="0" fontId="0" fillId="11" borderId="2" xfId="0" applyFill="1" applyBorder="1" applyAlignment="1">
      <alignment horizontal="right"/>
    </xf>
    <xf numFmtId="49" fontId="0" fillId="13" borderId="2" xfId="0" applyNumberFormat="1" applyFill="1" applyBorder="1" applyAlignment="1">
      <alignment horizontal="right"/>
    </xf>
    <xf numFmtId="0" fontId="2" fillId="13" borderId="5" xfId="1" applyFill="1" applyBorder="1" applyAlignment="1">
      <alignment horizontal="right"/>
    </xf>
    <xf numFmtId="0" fontId="2" fillId="13" borderId="2" xfId="1" applyFill="1" applyBorder="1" applyAlignment="1">
      <alignment horizontal="right"/>
    </xf>
    <xf numFmtId="0" fontId="3" fillId="13" borderId="2" xfId="1" applyFont="1" applyFill="1" applyBorder="1" applyAlignment="1">
      <alignment horizontal="right"/>
    </xf>
    <xf numFmtId="0" fontId="0" fillId="13" borderId="2" xfId="0" applyFill="1" applyBorder="1" applyAlignment="1">
      <alignment horizontal="right"/>
    </xf>
    <xf numFmtId="0" fontId="3" fillId="11" borderId="0" xfId="1" applyFont="1" applyFill="1" applyAlignment="1">
      <alignment horizontal="right"/>
    </xf>
    <xf numFmtId="0" fontId="2" fillId="11" borderId="0" xfId="1" applyFill="1" applyAlignment="1">
      <alignment horizontal="right"/>
    </xf>
    <xf numFmtId="0" fontId="0" fillId="13" borderId="3" xfId="0" applyFill="1" applyBorder="1" applyAlignment="1">
      <alignment horizontal="right"/>
    </xf>
    <xf numFmtId="0" fontId="2" fillId="13" borderId="3" xfId="1" applyFill="1" applyBorder="1" applyAlignment="1">
      <alignment horizontal="right"/>
    </xf>
    <xf numFmtId="0" fontId="1" fillId="12" borderId="2" xfId="0" applyFont="1" applyFill="1" applyBorder="1" applyAlignment="1">
      <alignment horizontal="right"/>
    </xf>
    <xf numFmtId="2" fontId="1" fillId="12" borderId="2" xfId="0" applyNumberFormat="1" applyFont="1" applyFill="1" applyBorder="1" applyAlignment="1">
      <alignment horizontal="right"/>
    </xf>
    <xf numFmtId="0" fontId="0" fillId="13" borderId="1" xfId="0" applyFill="1" applyBorder="1" applyAlignment="1">
      <alignment horizontal="right"/>
    </xf>
    <xf numFmtId="14" fontId="0" fillId="13" borderId="2" xfId="0" applyNumberFormat="1" applyFill="1" applyBorder="1" applyAlignment="1">
      <alignment horizontal="right"/>
    </xf>
    <xf numFmtId="2" fontId="0" fillId="13" borderId="2" xfId="0" applyNumberFormat="1" applyFill="1" applyBorder="1" applyAlignment="1">
      <alignment horizontal="right"/>
    </xf>
    <xf numFmtId="14" fontId="5" fillId="13" borderId="2" xfId="0" applyNumberFormat="1" applyFont="1" applyFill="1" applyBorder="1" applyAlignment="1">
      <alignment horizontal="right"/>
    </xf>
    <xf numFmtId="0" fontId="2" fillId="13" borderId="6" xfId="1" applyFill="1" applyBorder="1" applyAlignment="1">
      <alignment horizontal="right"/>
    </xf>
    <xf numFmtId="14" fontId="2" fillId="13" borderId="5" xfId="1" applyNumberFormat="1" applyFill="1" applyBorder="1" applyAlignment="1">
      <alignment horizontal="right"/>
    </xf>
    <xf numFmtId="2" fontId="2" fillId="13" borderId="5" xfId="1" applyNumberFormat="1" applyFill="1" applyBorder="1" applyAlignment="1">
      <alignment horizontal="right"/>
    </xf>
    <xf numFmtId="0" fontId="2" fillId="13" borderId="1" xfId="1" applyFill="1" applyBorder="1" applyAlignment="1">
      <alignment horizontal="right"/>
    </xf>
    <xf numFmtId="14" fontId="2" fillId="13" borderId="2" xfId="1" applyNumberFormat="1" applyFill="1" applyBorder="1" applyAlignment="1">
      <alignment horizontal="right"/>
    </xf>
    <xf numFmtId="2" fontId="2" fillId="13" borderId="2" xfId="1" applyNumberFormat="1" applyFill="1" applyBorder="1" applyAlignment="1">
      <alignment horizontal="right"/>
    </xf>
    <xf numFmtId="14" fontId="2" fillId="11" borderId="0" xfId="1" applyNumberFormat="1" applyFill="1" applyAlignment="1">
      <alignment horizontal="right"/>
    </xf>
    <xf numFmtId="2" fontId="0" fillId="13" borderId="0" xfId="0" applyNumberFormat="1" applyFill="1" applyAlignment="1">
      <alignment horizontal="right"/>
    </xf>
    <xf numFmtId="4" fontId="0" fillId="13" borderId="2" xfId="0" applyNumberFormat="1" applyFill="1" applyBorder="1" applyAlignment="1">
      <alignment horizontal="right"/>
    </xf>
    <xf numFmtId="0" fontId="0" fillId="11" borderId="6" xfId="0" applyFill="1" applyBorder="1" applyAlignment="1">
      <alignment horizontal="right"/>
    </xf>
    <xf numFmtId="14" fontId="0" fillId="11" borderId="5" xfId="0" applyNumberFormat="1" applyFill="1" applyBorder="1" applyAlignment="1">
      <alignment horizontal="right"/>
    </xf>
    <xf numFmtId="2" fontId="0" fillId="11" borderId="5" xfId="0" applyNumberFormat="1" applyFill="1" applyBorder="1" applyAlignment="1">
      <alignment horizontal="right"/>
    </xf>
    <xf numFmtId="0" fontId="0" fillId="11" borderId="8" xfId="0" applyFill="1" applyBorder="1" applyAlignment="1">
      <alignment horizontal="right"/>
    </xf>
    <xf numFmtId="14" fontId="0" fillId="11" borderId="7" xfId="0" applyNumberFormat="1" applyFill="1" applyBorder="1" applyAlignment="1">
      <alignment horizontal="right"/>
    </xf>
    <xf numFmtId="2" fontId="0" fillId="11" borderId="7" xfId="0" applyNumberFormat="1" applyFill="1" applyBorder="1" applyAlignment="1">
      <alignment horizontal="right"/>
    </xf>
    <xf numFmtId="0" fontId="0" fillId="13" borderId="4" xfId="0" applyFill="1" applyBorder="1" applyAlignment="1">
      <alignment horizontal="right"/>
    </xf>
    <xf numFmtId="14" fontId="0" fillId="13" borderId="3" xfId="0" applyNumberFormat="1" applyFill="1" applyBorder="1" applyAlignment="1">
      <alignment horizontal="right"/>
    </xf>
    <xf numFmtId="2" fontId="0" fillId="13" borderId="3" xfId="0" applyNumberFormat="1" applyFill="1" applyBorder="1" applyAlignment="1">
      <alignment horizontal="right"/>
    </xf>
    <xf numFmtId="0" fontId="0" fillId="13" borderId="0" xfId="0" applyFill="1" applyAlignment="1">
      <alignment horizontal="right"/>
    </xf>
    <xf numFmtId="0" fontId="2" fillId="13" borderId="4" xfId="1" applyFill="1" applyBorder="1" applyAlignment="1">
      <alignment horizontal="right"/>
    </xf>
    <xf numFmtId="14" fontId="2" fillId="13" borderId="3" xfId="1" applyNumberFormat="1" applyFill="1" applyBorder="1" applyAlignment="1">
      <alignment horizontal="right"/>
    </xf>
    <xf numFmtId="2" fontId="2" fillId="13" borderId="3" xfId="1" applyNumberFormat="1" applyFill="1" applyBorder="1" applyAlignment="1">
      <alignment horizontal="right"/>
    </xf>
    <xf numFmtId="0" fontId="7" fillId="13" borderId="0" xfId="2" applyFill="1" applyAlignment="1">
      <alignment horizontal="right"/>
    </xf>
    <xf numFmtId="0" fontId="1" fillId="2" borderId="0" xfId="0" applyFont="1" applyFill="1" applyAlignment="1">
      <alignment horizontal="right"/>
    </xf>
    <xf numFmtId="14" fontId="0" fillId="0" borderId="0" xfId="0" applyNumberFormat="1" applyAlignment="1">
      <alignment horizontal="right"/>
    </xf>
    <xf numFmtId="22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right"/>
    </xf>
    <xf numFmtId="2" fontId="1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8" borderId="1" xfId="0" applyFill="1" applyBorder="1" applyAlignment="1">
      <alignment horizontal="right"/>
    </xf>
    <xf numFmtId="14" fontId="0" fillId="8" borderId="2" xfId="0" applyNumberFormat="1" applyFill="1" applyBorder="1" applyAlignment="1">
      <alignment horizontal="right"/>
    </xf>
    <xf numFmtId="2" fontId="0" fillId="8" borderId="2" xfId="0" applyNumberFormat="1" applyFill="1" applyBorder="1" applyAlignment="1">
      <alignment horizontal="right"/>
    </xf>
    <xf numFmtId="0" fontId="0" fillId="8" borderId="4" xfId="0" applyFill="1" applyBorder="1" applyAlignment="1">
      <alignment horizontal="right"/>
    </xf>
    <xf numFmtId="14" fontId="0" fillId="8" borderId="3" xfId="0" applyNumberFormat="1" applyFill="1" applyBorder="1" applyAlignment="1">
      <alignment horizontal="right"/>
    </xf>
    <xf numFmtId="2" fontId="0" fillId="8" borderId="3" xfId="0" applyNumberFormat="1" applyFill="1" applyBorder="1" applyAlignment="1">
      <alignment horizontal="right"/>
    </xf>
    <xf numFmtId="0" fontId="0" fillId="9" borderId="1" xfId="0" applyFill="1" applyBorder="1" applyAlignment="1">
      <alignment horizontal="right"/>
    </xf>
    <xf numFmtId="14" fontId="0" fillId="9" borderId="2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14" fontId="0" fillId="7" borderId="5" xfId="0" applyNumberFormat="1" applyFill="1" applyBorder="1" applyAlignment="1">
      <alignment horizontal="right"/>
    </xf>
    <xf numFmtId="0" fontId="0" fillId="7" borderId="8" xfId="0" applyFill="1" applyBorder="1" applyAlignment="1">
      <alignment horizontal="right"/>
    </xf>
    <xf numFmtId="14" fontId="0" fillId="7" borderId="7" xfId="0" applyNumberFormat="1" applyFill="1" applyBorder="1" applyAlignment="1">
      <alignment horizontal="right"/>
    </xf>
    <xf numFmtId="49" fontId="0" fillId="5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14" fontId="0" fillId="5" borderId="0" xfId="0" applyNumberFormat="1" applyFill="1" applyAlignment="1">
      <alignment horizontal="right"/>
    </xf>
    <xf numFmtId="2" fontId="0" fillId="0" borderId="0" xfId="0" applyNumberFormat="1" applyAlignment="1">
      <alignment horizontal="right"/>
    </xf>
    <xf numFmtId="2" fontId="0" fillId="7" borderId="5" xfId="0" applyNumberFormat="1" applyFill="1" applyBorder="1" applyAlignment="1">
      <alignment horizontal="right"/>
    </xf>
    <xf numFmtId="2" fontId="0" fillId="7" borderId="7" xfId="0" applyNumberFormat="1" applyFill="1" applyBorder="1" applyAlignment="1">
      <alignment horizontal="right"/>
    </xf>
    <xf numFmtId="2" fontId="0" fillId="9" borderId="2" xfId="0" applyNumberFormat="1" applyFill="1" applyBorder="1" applyAlignment="1">
      <alignment horizontal="right"/>
    </xf>
    <xf numFmtId="49" fontId="7" fillId="0" borderId="0" xfId="2" applyNumberFormat="1" applyAlignment="1">
      <alignment horizontal="right"/>
    </xf>
    <xf numFmtId="0" fontId="7" fillId="0" borderId="0" xfId="2" applyAlignment="1">
      <alignment horizontal="right"/>
    </xf>
    <xf numFmtId="49" fontId="1" fillId="2" borderId="1" xfId="0" applyNumberFormat="1" applyFont="1" applyFill="1" applyBorder="1"/>
    <xf numFmtId="49" fontId="0" fillId="0" borderId="0" xfId="0" applyNumberFormat="1"/>
  </cellXfs>
  <cellStyles count="3">
    <cellStyle name="Normal" xfId="0" builtinId="0"/>
    <cellStyle name="Normal 2" xfId="1" xr:uid="{A97908B1-A0F2-4CB3-9C16-021B7C2AA07A}"/>
    <cellStyle name="Normal 3" xfId="2" xr:uid="{4DDE1554-8846-405A-9938-20DB94F46A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nzoverzaro\Downloads\4706147\4706147.csv" TargetMode="External"/><Relationship Id="rId1" Type="http://schemas.openxmlformats.org/officeDocument/2006/relationships/externalLinkPath" Target="file:///C:\Users\enzoverzaro\Downloads\4706147\4706147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706147"/>
      <sheetName val="4706147 (2)"/>
    </sheetNames>
    <sheetDataSet>
      <sheetData sheetId="0" refreshError="1"/>
      <sheetData sheetId="1">
        <row r="2">
          <cell r="I2" t="str">
            <v>000.491.835-59 44824 615,71</v>
          </cell>
        </row>
        <row r="3">
          <cell r="I3" t="str">
            <v>000.847.793-06 44195 524,16</v>
          </cell>
        </row>
        <row r="4">
          <cell r="I4" t="str">
            <v>001.256.263-71 44742 12,64</v>
          </cell>
        </row>
        <row r="5">
          <cell r="I5" t="str">
            <v>001.884.861-35 45270 203,12</v>
          </cell>
        </row>
        <row r="6">
          <cell r="I6" t="str">
            <v>003.992.943-41 44995 241,67</v>
          </cell>
        </row>
        <row r="7">
          <cell r="I7" t="str">
            <v>003.992.943-41 45026 241,67</v>
          </cell>
        </row>
        <row r="8">
          <cell r="I8" t="str">
            <v>005.312.093-00 45137 170,73</v>
          </cell>
        </row>
        <row r="9">
          <cell r="I9" t="str">
            <v>007.405.443-06 44499 310,36</v>
          </cell>
        </row>
        <row r="10">
          <cell r="I10" t="str">
            <v>007.773.473-42 45280 448,28</v>
          </cell>
        </row>
        <row r="11">
          <cell r="I11" t="str">
            <v>008.896.003-09 44581 171,96</v>
          </cell>
        </row>
        <row r="12">
          <cell r="I12" t="str">
            <v>010.657.683-62 45240 242,18</v>
          </cell>
        </row>
        <row r="13">
          <cell r="I13" t="str">
            <v>011.520.043-60 45301 219,98</v>
          </cell>
        </row>
        <row r="14">
          <cell r="I14" t="str">
            <v>011.520.043-60 45301 219,98</v>
          </cell>
        </row>
        <row r="15">
          <cell r="I15" t="str">
            <v>012.117.443-37 45402 215,38</v>
          </cell>
        </row>
        <row r="16">
          <cell r="I16" t="str">
            <v>019.649.303-08 44681 217,16</v>
          </cell>
        </row>
        <row r="17">
          <cell r="I17" t="str">
            <v>022.744.627-55 44620 1653,83</v>
          </cell>
        </row>
        <row r="18">
          <cell r="I18" t="str">
            <v>023.089.883-12 45056 412,37</v>
          </cell>
        </row>
        <row r="19">
          <cell r="I19" t="str">
            <v>026.823.835-99 44336 289,36</v>
          </cell>
        </row>
        <row r="20">
          <cell r="I20" t="str">
            <v>027.321.753-40 44326 274,57</v>
          </cell>
        </row>
        <row r="21">
          <cell r="I21" t="str">
            <v>027.771.703-55 45137 21,34</v>
          </cell>
        </row>
        <row r="22">
          <cell r="I22" t="str">
            <v>028.404.121-10 44540 234,5</v>
          </cell>
        </row>
        <row r="23">
          <cell r="I23" t="str">
            <v>030.839.191-82 44155 165,03</v>
          </cell>
        </row>
        <row r="24">
          <cell r="I24" t="str">
            <v>031.301.431-06 44387 254,88</v>
          </cell>
        </row>
        <row r="25">
          <cell r="I25" t="str">
            <v>035.232.783-92 44591 287,47</v>
          </cell>
        </row>
        <row r="26">
          <cell r="I26" t="str">
            <v>040.986.493-57 45371 222,25</v>
          </cell>
        </row>
        <row r="27">
          <cell r="I27" t="str">
            <v>040.986.493-57 45402 222,25</v>
          </cell>
        </row>
        <row r="28">
          <cell r="I28" t="str">
            <v>041.040.453-57 45280 306,84</v>
          </cell>
        </row>
        <row r="29">
          <cell r="I29" t="str">
            <v>041.301.303-07 44691 822,58</v>
          </cell>
        </row>
        <row r="30">
          <cell r="I30" t="str">
            <v>043.148.263-20 44550 58,8</v>
          </cell>
        </row>
        <row r="31">
          <cell r="I31" t="str">
            <v>047.029.963-04 45332 228,79</v>
          </cell>
        </row>
        <row r="32">
          <cell r="I32" t="str">
            <v>047.029.963-04 45361 228,79</v>
          </cell>
        </row>
        <row r="33">
          <cell r="I33" t="str">
            <v>047.029.963-04 45392 228,79</v>
          </cell>
        </row>
        <row r="34">
          <cell r="I34" t="str">
            <v>047.817.141-29 44185 196,8</v>
          </cell>
        </row>
        <row r="35">
          <cell r="I35" t="str">
            <v>048.501.513-70 44915 219,92</v>
          </cell>
        </row>
        <row r="36">
          <cell r="I36" t="str">
            <v>050.020.123-45 45311 251,83</v>
          </cell>
        </row>
        <row r="37">
          <cell r="I37" t="str">
            <v>050.127.361-17 44722 202,74</v>
          </cell>
        </row>
        <row r="38">
          <cell r="I38" t="str">
            <v>050.127.361-17 44691 154,76</v>
          </cell>
        </row>
        <row r="39">
          <cell r="I39" t="str">
            <v>050.419.272-86 45270 1129,23</v>
          </cell>
        </row>
        <row r="40">
          <cell r="I40" t="str">
            <v>050.571.423-05 44165 439,2</v>
          </cell>
        </row>
        <row r="41">
          <cell r="I41" t="str">
            <v>051.558.013-97 45152 18,82</v>
          </cell>
        </row>
        <row r="42">
          <cell r="I42" t="str">
            <v>051.558.013-97 45168 18,82</v>
          </cell>
        </row>
        <row r="43">
          <cell r="I43" t="str">
            <v>051.801.723-06 45127 66,6</v>
          </cell>
        </row>
        <row r="44">
          <cell r="I44" t="str">
            <v>051.821.053-71 44742 196,24</v>
          </cell>
        </row>
        <row r="45">
          <cell r="I45" t="str">
            <v>051.821.053-71 44772 196,24</v>
          </cell>
        </row>
        <row r="46">
          <cell r="I46" t="str">
            <v>054.032.173-71 45402 338,95</v>
          </cell>
        </row>
        <row r="47">
          <cell r="I47" t="str">
            <v>055.772.253-53 45402 1511,11</v>
          </cell>
        </row>
        <row r="48">
          <cell r="I48" t="str">
            <v>057.161.593-70 44925 308,55</v>
          </cell>
        </row>
        <row r="49">
          <cell r="I49" t="str">
            <v>057.573.023-48 45280 578,55</v>
          </cell>
        </row>
        <row r="50">
          <cell r="I50" t="str">
            <v>057.573.023-48 45250 578,55</v>
          </cell>
        </row>
        <row r="51">
          <cell r="I51" t="str">
            <v>058.468.513-04 44840 6,07</v>
          </cell>
        </row>
        <row r="52">
          <cell r="I52" t="str">
            <v>058.468.513-04 44748 176,8</v>
          </cell>
        </row>
        <row r="53">
          <cell r="I53" t="str">
            <v>058.813.681-69 45148 18,9</v>
          </cell>
        </row>
        <row r="54">
          <cell r="I54" t="str">
            <v>061.182.283-02 45311 401,83</v>
          </cell>
        </row>
        <row r="55">
          <cell r="I55" t="str">
            <v>072.722.313-51 45402 260,27</v>
          </cell>
        </row>
        <row r="56">
          <cell r="I56" t="str">
            <v>105.600.223-95 44956 24,25</v>
          </cell>
        </row>
        <row r="57">
          <cell r="I57" t="str">
            <v>110.774.093-20 45280 1423,88</v>
          </cell>
        </row>
        <row r="58">
          <cell r="I58" t="str">
            <v>250.265.773-34 44530 51,45</v>
          </cell>
        </row>
        <row r="59">
          <cell r="I59" t="str">
            <v>270.629.703-44 45407 270,01</v>
          </cell>
        </row>
        <row r="60">
          <cell r="I60" t="str">
            <v>280.768.423-87 44814 180,68</v>
          </cell>
        </row>
        <row r="61">
          <cell r="I61" t="str">
            <v>291.132.963-53 45301 788,88</v>
          </cell>
        </row>
        <row r="62">
          <cell r="I62" t="str">
            <v>291.158.923-87 45036 654,16</v>
          </cell>
        </row>
        <row r="63">
          <cell r="I63" t="str">
            <v>299.556.613-72 45056 274,42</v>
          </cell>
        </row>
        <row r="64">
          <cell r="I64" t="str">
            <v>299.570.873-04 44407 629,67</v>
          </cell>
        </row>
        <row r="65">
          <cell r="I65" t="str">
            <v>336.228.843-04 44255 632,32</v>
          </cell>
        </row>
        <row r="66">
          <cell r="I66" t="str">
            <v>345.089.373-49 44925 483,33</v>
          </cell>
        </row>
        <row r="67">
          <cell r="I67" t="str">
            <v>357.876.191-53 45412 3318,87</v>
          </cell>
        </row>
        <row r="68">
          <cell r="I68" t="str">
            <v>402.117.623-34 44620 538,79</v>
          </cell>
        </row>
        <row r="69">
          <cell r="I69" t="str">
            <v>402.117.623-34 44650 538,79</v>
          </cell>
        </row>
        <row r="70">
          <cell r="I70" t="str">
            <v>402.415.303-00 44681 670,89</v>
          </cell>
        </row>
        <row r="71">
          <cell r="I71" t="str">
            <v>402.415.303-00 44711 670,89</v>
          </cell>
        </row>
        <row r="72">
          <cell r="I72" t="str">
            <v>402.424.553-87 44428 662,62</v>
          </cell>
        </row>
        <row r="73">
          <cell r="I73" t="str">
            <v>424.643.583-04 44956 306,84</v>
          </cell>
        </row>
        <row r="74">
          <cell r="I74" t="str">
            <v>436.129.703-72 45280 3650,79</v>
          </cell>
        </row>
        <row r="75">
          <cell r="I75" t="str">
            <v>467.046.983-53 45005 497,49</v>
          </cell>
        </row>
        <row r="76">
          <cell r="I76" t="str">
            <v>487.833.663-34 45392 870,46</v>
          </cell>
        </row>
        <row r="77">
          <cell r="I77" t="str">
            <v>489.414.503-06 45245 824,8</v>
          </cell>
        </row>
        <row r="78">
          <cell r="I78" t="str">
            <v>489.414.503-06 45275 824,8</v>
          </cell>
        </row>
        <row r="79">
          <cell r="I79" t="str">
            <v>523.750.053-68 45402 300,85</v>
          </cell>
        </row>
        <row r="80">
          <cell r="I80" t="str">
            <v>525.125.766-04 45209 422,21</v>
          </cell>
        </row>
        <row r="81">
          <cell r="I81" t="str">
            <v>576.683.963-49 44226 253,91</v>
          </cell>
        </row>
        <row r="82">
          <cell r="I82" t="str">
            <v>576.683.963-49 44255 9,3</v>
          </cell>
        </row>
        <row r="83">
          <cell r="I83" t="str">
            <v>600.549.333-74 45351 296,24</v>
          </cell>
        </row>
        <row r="84">
          <cell r="I84" t="str">
            <v>600.549.333-74 45381 296,24</v>
          </cell>
        </row>
        <row r="85">
          <cell r="I85" t="str">
            <v>600.549.333-74 45412 296,24</v>
          </cell>
        </row>
        <row r="86">
          <cell r="I86" t="str">
            <v>602.332.953-56 45290 625,58</v>
          </cell>
        </row>
        <row r="87">
          <cell r="I87" t="str">
            <v>602.530.833-03 45015 250,82</v>
          </cell>
        </row>
        <row r="88">
          <cell r="I88" t="str">
            <v>602.530.833-03 45015 250,82</v>
          </cell>
        </row>
        <row r="89">
          <cell r="I89" t="str">
            <v>602.757.413-54 45097 270,15</v>
          </cell>
        </row>
        <row r="90">
          <cell r="I90" t="str">
            <v>602.757.413-54 45127 270,15</v>
          </cell>
        </row>
        <row r="91">
          <cell r="I91" t="str">
            <v>605.686.232-15 44449 646,39</v>
          </cell>
        </row>
        <row r="92">
          <cell r="I92" t="str">
            <v>606.641.593-03 45171 249,3</v>
          </cell>
        </row>
        <row r="93">
          <cell r="I93" t="str">
            <v>606.849.113-70 44793 293,67</v>
          </cell>
        </row>
        <row r="94">
          <cell r="I94" t="str">
            <v>607.720.143-02 45402 274,97</v>
          </cell>
        </row>
        <row r="95">
          <cell r="I95" t="str">
            <v>607.720.143-02 45371 274,97</v>
          </cell>
        </row>
        <row r="96">
          <cell r="I96" t="str">
            <v>609.630.243-29 44824 198,61</v>
          </cell>
        </row>
        <row r="97">
          <cell r="I97" t="str">
            <v>610.210.543-56 45280 270,11</v>
          </cell>
        </row>
        <row r="98">
          <cell r="I98" t="str">
            <v>615.198.553-20 44165 46,46</v>
          </cell>
        </row>
        <row r="99">
          <cell r="I99" t="str">
            <v>618.619.793-04 44671 5,35</v>
          </cell>
        </row>
        <row r="100">
          <cell r="I100" t="str">
            <v>618.619.793-04 44915 175,86</v>
          </cell>
        </row>
        <row r="101">
          <cell r="I101" t="str">
            <v>620.870.373-53 44681 568,58</v>
          </cell>
        </row>
        <row r="102">
          <cell r="I102" t="str">
            <v>620.870.373-53 44711 568,58</v>
          </cell>
        </row>
        <row r="103">
          <cell r="I103" t="str">
            <v>621.096.843-05 45371 215,14</v>
          </cell>
        </row>
        <row r="104">
          <cell r="I104" t="str">
            <v>621.096.843-05 45402 215,14</v>
          </cell>
        </row>
        <row r="105">
          <cell r="I105" t="str">
            <v>626.258.923-66 44226 180,68</v>
          </cell>
        </row>
        <row r="106">
          <cell r="I106" t="str">
            <v>632.195.063-72 44915 272,91</v>
          </cell>
        </row>
        <row r="107">
          <cell r="I107" t="str">
            <v>632.195.063-72 44946 256,11</v>
          </cell>
        </row>
        <row r="108">
          <cell r="I108" t="str">
            <v>645.383.463-49 45301 266,2</v>
          </cell>
        </row>
        <row r="109">
          <cell r="I109" t="str">
            <v>645.425.802-53 44540 186,84</v>
          </cell>
        </row>
        <row r="110">
          <cell r="I110" t="str">
            <v>645.796.113-49 44397 496,09</v>
          </cell>
        </row>
        <row r="111">
          <cell r="I111" t="str">
            <v>650.888.083-72 45402 715,1</v>
          </cell>
        </row>
        <row r="112">
          <cell r="I112" t="str">
            <v>659.071.753-20 44255 463,72</v>
          </cell>
        </row>
        <row r="113">
          <cell r="I113" t="str">
            <v>667.450.123-91 44428 39,63</v>
          </cell>
        </row>
        <row r="114">
          <cell r="I114" t="str">
            <v>700.270.414-17 45199 79,2</v>
          </cell>
        </row>
        <row r="115">
          <cell r="I115" t="str">
            <v>701.546.101-35 44915 264,16</v>
          </cell>
        </row>
        <row r="116">
          <cell r="I116" t="str">
            <v>702.237.263-20 44650 526,45</v>
          </cell>
        </row>
        <row r="117">
          <cell r="I117" t="str">
            <v>702.237.263-20 44681 531,48</v>
          </cell>
        </row>
        <row r="118">
          <cell r="I118" t="str">
            <v>778.355.813-53 44306 577,01</v>
          </cell>
        </row>
        <row r="119">
          <cell r="I119" t="str">
            <v>821.134.673-72 44438 143,88</v>
          </cell>
        </row>
        <row r="120">
          <cell r="I120" t="str">
            <v>832.512.273-00 45240 1129,23</v>
          </cell>
        </row>
        <row r="121">
          <cell r="I121" t="str">
            <v>832.512.273-00 45270 1129,23</v>
          </cell>
        </row>
        <row r="122">
          <cell r="I122" t="str">
            <v>832.512.273-00 45301 1129,23</v>
          </cell>
        </row>
        <row r="123">
          <cell r="I123" t="str">
            <v>850.558.323-04 44854 246,38</v>
          </cell>
        </row>
        <row r="124">
          <cell r="I124" t="str">
            <v>850.558.323-04 44885 246,38</v>
          </cell>
        </row>
        <row r="125">
          <cell r="I125" t="str">
            <v>856.002.883-87 44586 204,03</v>
          </cell>
        </row>
        <row r="126">
          <cell r="I126" t="str">
            <v>859.055.183-00 45219 911,19</v>
          </cell>
        </row>
        <row r="127">
          <cell r="I127" t="str">
            <v>873.129.803-68 45270 400,24</v>
          </cell>
        </row>
        <row r="128">
          <cell r="I128" t="str">
            <v>900.743.433-00 45285 227,52</v>
          </cell>
        </row>
        <row r="129">
          <cell r="I129" t="str">
            <v>904.272.033-68 45361 329,32</v>
          </cell>
        </row>
        <row r="130">
          <cell r="I130" t="str">
            <v>904.272.033-68 45392 329,32</v>
          </cell>
        </row>
        <row r="131">
          <cell r="I131" t="str">
            <v>904.272.033-68 45422 329,32</v>
          </cell>
        </row>
        <row r="132">
          <cell r="I132" t="str">
            <v>904.533.873-49 45219 204,22</v>
          </cell>
        </row>
        <row r="133">
          <cell r="I133" t="str">
            <v>904.533.873-49 45250 204,22</v>
          </cell>
        </row>
        <row r="134">
          <cell r="I134" t="str">
            <v>920.075.463-53 45285 743,22</v>
          </cell>
        </row>
        <row r="135">
          <cell r="I135" t="str">
            <v>923.117.923-34 45240 190,02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9129-ADD6-4338-B1EA-4B2B45E5EF7A}">
  <dimension ref="A1:H137"/>
  <sheetViews>
    <sheetView workbookViewId="0">
      <selection activeCell="C27" sqref="C27"/>
    </sheetView>
  </sheetViews>
  <sheetFormatPr defaultRowHeight="15" x14ac:dyDescent="0.25"/>
  <cols>
    <col min="2" max="2" width="17.85546875" bestFit="1" customWidth="1"/>
    <col min="3" max="3" width="14" bestFit="1" customWidth="1"/>
    <col min="4" max="4" width="10.85546875" bestFit="1" customWidth="1"/>
    <col min="5" max="5" width="22.5703125" bestFit="1" customWidth="1"/>
    <col min="6" max="6" width="14" bestFit="1" customWidth="1"/>
    <col min="7" max="7" width="15.5703125" bestFit="1" customWidth="1"/>
    <col min="8" max="8" width="33.85546875" bestFit="1" customWidth="1"/>
  </cols>
  <sheetData>
    <row r="1" spans="1:8" x14ac:dyDescent="0.25">
      <c r="A1" t="s">
        <v>119</v>
      </c>
      <c r="B1" s="1" t="s">
        <v>0</v>
      </c>
      <c r="C1" s="2" t="s">
        <v>280</v>
      </c>
      <c r="D1" s="3" t="s">
        <v>1</v>
      </c>
      <c r="E1" s="2" t="s">
        <v>2</v>
      </c>
      <c r="F1" s="2" t="s">
        <v>3</v>
      </c>
      <c r="G1" s="2" t="s">
        <v>4</v>
      </c>
      <c r="H1" s="14" t="s">
        <v>117</v>
      </c>
    </row>
    <row r="2" spans="1:8" x14ac:dyDescent="0.25">
      <c r="A2">
        <v>2</v>
      </c>
      <c r="B2" s="4" t="s">
        <v>205</v>
      </c>
      <c r="C2" s="5" t="s">
        <v>6</v>
      </c>
      <c r="D2" s="6" t="s">
        <v>7</v>
      </c>
      <c r="E2" s="7">
        <v>44195</v>
      </c>
      <c r="F2" s="5">
        <v>524.16</v>
      </c>
      <c r="G2" s="7">
        <v>44301</v>
      </c>
    </row>
    <row r="3" spans="1:8" x14ac:dyDescent="0.25">
      <c r="A3">
        <v>3</v>
      </c>
      <c r="B3" s="4" t="s">
        <v>205</v>
      </c>
      <c r="C3" s="5" t="s">
        <v>8</v>
      </c>
      <c r="D3" s="6">
        <v>70158</v>
      </c>
      <c r="E3" s="7">
        <v>45270</v>
      </c>
      <c r="F3" s="5">
        <v>203.12</v>
      </c>
      <c r="G3" s="7">
        <v>45323</v>
      </c>
    </row>
    <row r="4" spans="1:8" x14ac:dyDescent="0.25">
      <c r="A4">
        <v>4</v>
      </c>
      <c r="B4" s="4" t="s">
        <v>205</v>
      </c>
      <c r="C4" s="5" t="s">
        <v>9</v>
      </c>
      <c r="D4" s="6">
        <v>64058</v>
      </c>
      <c r="E4" s="7">
        <v>44995</v>
      </c>
      <c r="F4" s="5">
        <v>241.67</v>
      </c>
      <c r="G4" s="7">
        <v>45090</v>
      </c>
    </row>
    <row r="5" spans="1:8" x14ac:dyDescent="0.25">
      <c r="A5">
        <v>5</v>
      </c>
      <c r="B5" s="4" t="s">
        <v>205</v>
      </c>
      <c r="C5" s="5" t="s">
        <v>9</v>
      </c>
      <c r="D5" s="6">
        <v>64058</v>
      </c>
      <c r="E5" s="7">
        <v>45026</v>
      </c>
      <c r="F5" s="5">
        <v>241.67</v>
      </c>
      <c r="G5" s="7"/>
    </row>
    <row r="6" spans="1:8" x14ac:dyDescent="0.25">
      <c r="A6">
        <v>6</v>
      </c>
      <c r="B6" s="4" t="s">
        <v>205</v>
      </c>
      <c r="C6" s="5" t="s">
        <v>10</v>
      </c>
      <c r="D6" s="6">
        <v>69399</v>
      </c>
      <c r="E6" s="7">
        <v>45137</v>
      </c>
      <c r="F6" s="5">
        <v>170.73</v>
      </c>
      <c r="G6" s="7">
        <v>45457</v>
      </c>
    </row>
    <row r="7" spans="1:8" x14ac:dyDescent="0.25">
      <c r="A7">
        <v>7</v>
      </c>
      <c r="B7" s="4" t="s">
        <v>205</v>
      </c>
      <c r="C7" s="5" t="s">
        <v>11</v>
      </c>
      <c r="D7" s="6">
        <v>57190</v>
      </c>
      <c r="E7" s="7">
        <v>45412</v>
      </c>
      <c r="F7" s="5">
        <v>329.32</v>
      </c>
      <c r="G7" s="7">
        <v>45488</v>
      </c>
    </row>
    <row r="8" spans="1:8" x14ac:dyDescent="0.25">
      <c r="A8">
        <v>8</v>
      </c>
      <c r="B8" s="4" t="s">
        <v>205</v>
      </c>
      <c r="C8" s="5" t="s">
        <v>12</v>
      </c>
      <c r="D8" s="6">
        <v>65839</v>
      </c>
      <c r="E8" s="7">
        <v>45280</v>
      </c>
      <c r="F8" s="5">
        <v>448.28</v>
      </c>
      <c r="G8" s="7">
        <v>45323</v>
      </c>
    </row>
    <row r="9" spans="1:8" x14ac:dyDescent="0.25">
      <c r="A9">
        <v>9</v>
      </c>
      <c r="B9" s="4" t="s">
        <v>205</v>
      </c>
      <c r="C9" s="5" t="s">
        <v>13</v>
      </c>
      <c r="D9" s="6">
        <v>59730</v>
      </c>
      <c r="E9" s="7">
        <v>45290</v>
      </c>
      <c r="F9" s="5">
        <v>274.97000000000003</v>
      </c>
      <c r="G9" s="7">
        <v>45323</v>
      </c>
    </row>
    <row r="10" spans="1:8" x14ac:dyDescent="0.25">
      <c r="A10">
        <v>10</v>
      </c>
      <c r="B10" s="4" t="s">
        <v>205</v>
      </c>
      <c r="C10" s="5" t="s">
        <v>14</v>
      </c>
      <c r="D10" s="6">
        <v>66758</v>
      </c>
      <c r="E10" s="7">
        <v>44581</v>
      </c>
      <c r="F10" s="5">
        <v>171.96</v>
      </c>
      <c r="G10" s="7">
        <v>44701</v>
      </c>
    </row>
    <row r="11" spans="1:8" x14ac:dyDescent="0.25">
      <c r="A11">
        <v>11</v>
      </c>
      <c r="B11" s="4" t="s">
        <v>205</v>
      </c>
      <c r="C11" s="5" t="s">
        <v>15</v>
      </c>
      <c r="D11" s="6">
        <v>58663</v>
      </c>
      <c r="E11" s="7">
        <v>45240</v>
      </c>
      <c r="F11" s="5">
        <v>242.18</v>
      </c>
      <c r="G11" s="7">
        <v>45260</v>
      </c>
    </row>
    <row r="12" spans="1:8" x14ac:dyDescent="0.25">
      <c r="A12">
        <v>12</v>
      </c>
      <c r="B12" s="4" t="s">
        <v>205</v>
      </c>
      <c r="C12" s="5" t="s">
        <v>16</v>
      </c>
      <c r="D12" s="6">
        <v>59021</v>
      </c>
      <c r="E12" s="7">
        <v>45301</v>
      </c>
      <c r="F12" s="5">
        <v>219.98</v>
      </c>
      <c r="G12" s="7">
        <v>45323</v>
      </c>
    </row>
    <row r="13" spans="1:8" x14ac:dyDescent="0.25">
      <c r="A13">
        <v>13</v>
      </c>
      <c r="B13" s="4" t="s">
        <v>205</v>
      </c>
      <c r="C13" s="5" t="s">
        <v>16</v>
      </c>
      <c r="D13" s="6">
        <v>59020</v>
      </c>
      <c r="E13" s="7">
        <v>45301</v>
      </c>
      <c r="F13" s="5">
        <v>219.98</v>
      </c>
      <c r="G13" s="7">
        <v>45323</v>
      </c>
    </row>
    <row r="14" spans="1:8" x14ac:dyDescent="0.25">
      <c r="A14">
        <v>14</v>
      </c>
      <c r="B14" s="4" t="s">
        <v>205</v>
      </c>
      <c r="C14" s="5" t="s">
        <v>17</v>
      </c>
      <c r="D14" s="6">
        <v>71586</v>
      </c>
      <c r="E14" s="7">
        <v>45402</v>
      </c>
      <c r="F14" s="5">
        <v>215.38</v>
      </c>
      <c r="G14" s="7">
        <v>45464</v>
      </c>
    </row>
    <row r="15" spans="1:8" x14ac:dyDescent="0.25">
      <c r="A15">
        <v>15</v>
      </c>
      <c r="B15" s="4" t="s">
        <v>205</v>
      </c>
      <c r="C15" s="5" t="s">
        <v>18</v>
      </c>
      <c r="D15" s="6">
        <v>44638</v>
      </c>
      <c r="E15" s="7">
        <v>45332</v>
      </c>
      <c r="F15" s="5">
        <v>165.23</v>
      </c>
      <c r="G15" s="7">
        <v>45464</v>
      </c>
    </row>
    <row r="16" spans="1:8" x14ac:dyDescent="0.25">
      <c r="A16">
        <v>16</v>
      </c>
      <c r="B16" s="4" t="s">
        <v>205</v>
      </c>
      <c r="C16" s="5" t="s">
        <v>19</v>
      </c>
      <c r="D16" s="6">
        <v>58024</v>
      </c>
      <c r="E16" s="7">
        <v>44681</v>
      </c>
      <c r="F16" s="5">
        <v>217.16</v>
      </c>
      <c r="G16" s="7">
        <v>44792</v>
      </c>
    </row>
    <row r="17" spans="1:7" x14ac:dyDescent="0.25">
      <c r="A17">
        <v>17</v>
      </c>
      <c r="B17" s="4" t="s">
        <v>205</v>
      </c>
      <c r="C17" s="5" t="s">
        <v>20</v>
      </c>
      <c r="D17" s="6">
        <v>53774</v>
      </c>
      <c r="E17" s="7">
        <v>44620</v>
      </c>
      <c r="F17" s="8">
        <v>1653.83</v>
      </c>
      <c r="G17" s="7">
        <v>44762</v>
      </c>
    </row>
    <row r="18" spans="1:7" x14ac:dyDescent="0.25">
      <c r="A18">
        <v>18</v>
      </c>
      <c r="B18" s="4" t="s">
        <v>205</v>
      </c>
      <c r="C18" s="5" t="s">
        <v>21</v>
      </c>
      <c r="D18" s="6">
        <v>65656</v>
      </c>
      <c r="E18" s="7">
        <v>45056</v>
      </c>
      <c r="F18" s="5">
        <v>412.37</v>
      </c>
      <c r="G18" s="7">
        <v>45090</v>
      </c>
    </row>
    <row r="19" spans="1:7" x14ac:dyDescent="0.25">
      <c r="A19">
        <v>19</v>
      </c>
      <c r="B19" s="4" t="s">
        <v>205</v>
      </c>
      <c r="C19" s="5" t="s">
        <v>22</v>
      </c>
      <c r="D19" s="6">
        <v>63959</v>
      </c>
      <c r="E19" s="7">
        <v>44336</v>
      </c>
      <c r="F19" s="5">
        <v>289.36</v>
      </c>
      <c r="G19" s="7">
        <v>44469</v>
      </c>
    </row>
    <row r="20" spans="1:7" x14ac:dyDescent="0.25">
      <c r="A20">
        <v>20</v>
      </c>
      <c r="B20" s="4" t="s">
        <v>205</v>
      </c>
      <c r="C20" s="5" t="s">
        <v>23</v>
      </c>
      <c r="D20" s="6">
        <v>71903</v>
      </c>
      <c r="E20" s="7">
        <v>45381</v>
      </c>
      <c r="F20" s="5">
        <v>192.8</v>
      </c>
      <c r="G20" s="7">
        <v>45464</v>
      </c>
    </row>
    <row r="21" spans="1:7" x14ac:dyDescent="0.25">
      <c r="A21">
        <v>21</v>
      </c>
      <c r="B21" s="4" t="s">
        <v>205</v>
      </c>
      <c r="C21" s="5" t="s">
        <v>24</v>
      </c>
      <c r="D21" s="6">
        <v>48437</v>
      </c>
      <c r="E21" s="7">
        <v>44326</v>
      </c>
      <c r="F21" s="5">
        <v>274.57</v>
      </c>
      <c r="G21" s="7">
        <v>44438</v>
      </c>
    </row>
    <row r="22" spans="1:7" x14ac:dyDescent="0.25">
      <c r="A22">
        <v>22</v>
      </c>
      <c r="B22" s="4" t="s">
        <v>205</v>
      </c>
      <c r="C22" s="5" t="s">
        <v>25</v>
      </c>
      <c r="D22" s="6">
        <v>70288</v>
      </c>
      <c r="E22" s="7">
        <v>45137</v>
      </c>
      <c r="F22" s="5">
        <v>21.34</v>
      </c>
      <c r="G22" s="7">
        <v>45254</v>
      </c>
    </row>
    <row r="23" spans="1:7" x14ac:dyDescent="0.25">
      <c r="A23">
        <v>23</v>
      </c>
      <c r="B23" s="4" t="s">
        <v>205</v>
      </c>
      <c r="C23" s="5" t="s">
        <v>26</v>
      </c>
      <c r="D23" s="6">
        <v>69171</v>
      </c>
      <c r="E23" s="7">
        <v>44540</v>
      </c>
      <c r="F23" s="5">
        <v>234.5</v>
      </c>
      <c r="G23" s="7">
        <v>44707</v>
      </c>
    </row>
    <row r="24" spans="1:7" x14ac:dyDescent="0.25">
      <c r="A24">
        <v>24</v>
      </c>
      <c r="B24" s="4" t="s">
        <v>205</v>
      </c>
      <c r="C24" s="5" t="s">
        <v>27</v>
      </c>
      <c r="D24" s="6">
        <v>44711</v>
      </c>
      <c r="E24" s="7">
        <v>45342</v>
      </c>
      <c r="F24" s="5">
        <v>45</v>
      </c>
      <c r="G24" s="7">
        <v>45477</v>
      </c>
    </row>
    <row r="25" spans="1:7" x14ac:dyDescent="0.25">
      <c r="A25">
        <v>25</v>
      </c>
      <c r="B25" s="4" t="s">
        <v>205</v>
      </c>
      <c r="C25" s="5" t="s">
        <v>28</v>
      </c>
      <c r="D25" s="6">
        <v>67518</v>
      </c>
      <c r="E25" s="7">
        <v>44387</v>
      </c>
      <c r="F25" s="5">
        <v>254.88</v>
      </c>
      <c r="G25" s="7">
        <v>44526</v>
      </c>
    </row>
    <row r="26" spans="1:7" x14ac:dyDescent="0.25">
      <c r="A26">
        <v>26</v>
      </c>
      <c r="B26" s="4" t="s">
        <v>205</v>
      </c>
      <c r="C26" s="5" t="s">
        <v>29</v>
      </c>
      <c r="D26" s="6">
        <v>67010</v>
      </c>
      <c r="E26" s="7">
        <v>44591</v>
      </c>
      <c r="F26" s="5">
        <v>287.47000000000003</v>
      </c>
      <c r="G26" s="7">
        <v>44715</v>
      </c>
    </row>
    <row r="27" spans="1:7" x14ac:dyDescent="0.25">
      <c r="A27">
        <v>27</v>
      </c>
      <c r="B27" s="4" t="s">
        <v>205</v>
      </c>
      <c r="C27" s="5" t="s">
        <v>30</v>
      </c>
      <c r="D27" s="6">
        <v>49899</v>
      </c>
      <c r="E27" s="7">
        <v>45402</v>
      </c>
      <c r="F27" s="5">
        <v>222.25</v>
      </c>
      <c r="G27" s="7">
        <v>45464</v>
      </c>
    </row>
    <row r="28" spans="1:7" x14ac:dyDescent="0.25">
      <c r="A28">
        <v>28</v>
      </c>
      <c r="B28" s="4" t="s">
        <v>205</v>
      </c>
      <c r="C28" s="5" t="s">
        <v>30</v>
      </c>
      <c r="D28" s="6">
        <v>49899</v>
      </c>
      <c r="E28" s="7">
        <v>45371</v>
      </c>
      <c r="F28" s="5">
        <v>222.25</v>
      </c>
      <c r="G28" s="7">
        <v>45464</v>
      </c>
    </row>
    <row r="29" spans="1:7" x14ac:dyDescent="0.25">
      <c r="A29">
        <v>29</v>
      </c>
      <c r="B29" s="4" t="s">
        <v>205</v>
      </c>
      <c r="C29" s="5" t="s">
        <v>31</v>
      </c>
      <c r="D29" s="6">
        <v>63415</v>
      </c>
      <c r="E29" s="7">
        <v>45280</v>
      </c>
      <c r="F29" s="5">
        <v>306.83999999999997</v>
      </c>
      <c r="G29" s="7">
        <v>45323</v>
      </c>
    </row>
    <row r="30" spans="1:7" x14ac:dyDescent="0.25">
      <c r="A30">
        <v>30</v>
      </c>
      <c r="B30" s="4" t="s">
        <v>205</v>
      </c>
      <c r="C30" s="5" t="s">
        <v>32</v>
      </c>
      <c r="D30" s="6">
        <v>63822</v>
      </c>
      <c r="E30" s="7">
        <v>44691</v>
      </c>
      <c r="F30" s="5">
        <v>822.58</v>
      </c>
      <c r="G30" s="7">
        <v>44764</v>
      </c>
    </row>
    <row r="31" spans="1:7" x14ac:dyDescent="0.25">
      <c r="A31">
        <v>31</v>
      </c>
      <c r="B31" s="4" t="s">
        <v>205</v>
      </c>
      <c r="C31" s="5" t="s">
        <v>33</v>
      </c>
      <c r="D31" s="6">
        <v>68107</v>
      </c>
      <c r="E31" s="7">
        <v>44550</v>
      </c>
      <c r="F31" s="5">
        <v>58.8</v>
      </c>
      <c r="G31" s="7">
        <v>44644</v>
      </c>
    </row>
    <row r="32" spans="1:7" x14ac:dyDescent="0.25">
      <c r="A32">
        <v>32</v>
      </c>
      <c r="B32" s="4" t="s">
        <v>205</v>
      </c>
      <c r="C32" s="5" t="s">
        <v>34</v>
      </c>
      <c r="D32" s="6">
        <v>65906</v>
      </c>
      <c r="E32" s="7">
        <v>45361</v>
      </c>
      <c r="F32" s="5">
        <v>228.79</v>
      </c>
      <c r="G32" s="7">
        <v>45464</v>
      </c>
    </row>
    <row r="33" spans="1:7" x14ac:dyDescent="0.25">
      <c r="A33">
        <v>33</v>
      </c>
      <c r="B33" s="4" t="s">
        <v>205</v>
      </c>
      <c r="C33" s="5" t="s">
        <v>34</v>
      </c>
      <c r="D33" s="6">
        <v>65906</v>
      </c>
      <c r="E33" s="7">
        <v>45332</v>
      </c>
      <c r="F33" s="5">
        <v>228.79</v>
      </c>
      <c r="G33" s="7">
        <v>45464</v>
      </c>
    </row>
    <row r="34" spans="1:7" x14ac:dyDescent="0.25">
      <c r="A34">
        <v>34</v>
      </c>
      <c r="B34" s="4" t="s">
        <v>205</v>
      </c>
      <c r="C34" s="5" t="s">
        <v>34</v>
      </c>
      <c r="D34" s="6">
        <v>65906</v>
      </c>
      <c r="E34" s="7">
        <v>45392</v>
      </c>
      <c r="F34" s="5">
        <v>228.79</v>
      </c>
      <c r="G34" s="7">
        <v>45464</v>
      </c>
    </row>
    <row r="35" spans="1:7" x14ac:dyDescent="0.25">
      <c r="A35">
        <v>35</v>
      </c>
      <c r="B35" s="4" t="s">
        <v>205</v>
      </c>
      <c r="C35" s="5" t="s">
        <v>35</v>
      </c>
      <c r="D35" s="6">
        <v>68725</v>
      </c>
      <c r="E35" s="7">
        <v>44915</v>
      </c>
      <c r="F35" s="5">
        <v>219.92</v>
      </c>
      <c r="G35" s="7">
        <v>45027</v>
      </c>
    </row>
    <row r="36" spans="1:7" x14ac:dyDescent="0.25">
      <c r="A36">
        <v>36</v>
      </c>
      <c r="B36" s="4" t="s">
        <v>205</v>
      </c>
      <c r="C36" s="5" t="s">
        <v>36</v>
      </c>
      <c r="D36" s="6">
        <v>69282</v>
      </c>
      <c r="E36" s="7">
        <v>45432</v>
      </c>
      <c r="F36" s="8">
        <v>1139.81</v>
      </c>
      <c r="G36" s="7">
        <v>45545</v>
      </c>
    </row>
    <row r="37" spans="1:7" x14ac:dyDescent="0.25">
      <c r="A37">
        <v>37</v>
      </c>
      <c r="B37" s="4" t="s">
        <v>205</v>
      </c>
      <c r="C37" s="5" t="s">
        <v>37</v>
      </c>
      <c r="D37" s="6">
        <v>72681</v>
      </c>
      <c r="E37" s="7">
        <v>45311</v>
      </c>
      <c r="F37" s="5">
        <v>251.83</v>
      </c>
      <c r="G37" s="7">
        <v>45463</v>
      </c>
    </row>
    <row r="38" spans="1:7" x14ac:dyDescent="0.25">
      <c r="A38">
        <v>38</v>
      </c>
      <c r="B38" s="4" t="s">
        <v>205</v>
      </c>
      <c r="C38" s="5" t="s">
        <v>38</v>
      </c>
      <c r="D38" s="6">
        <v>67453</v>
      </c>
      <c r="E38" s="7">
        <v>44691</v>
      </c>
      <c r="F38" s="5">
        <v>154.76</v>
      </c>
      <c r="G38" s="7">
        <v>44791</v>
      </c>
    </row>
    <row r="39" spans="1:7" x14ac:dyDescent="0.25">
      <c r="A39">
        <v>39</v>
      </c>
      <c r="B39" s="4" t="s">
        <v>205</v>
      </c>
      <c r="C39" s="5" t="s">
        <v>38</v>
      </c>
      <c r="D39" s="6">
        <v>67453</v>
      </c>
      <c r="E39" s="7">
        <v>44722</v>
      </c>
      <c r="F39" s="5">
        <v>202.74</v>
      </c>
      <c r="G39" s="7">
        <v>44791</v>
      </c>
    </row>
    <row r="40" spans="1:7" x14ac:dyDescent="0.25">
      <c r="A40">
        <v>40</v>
      </c>
      <c r="B40" s="4" t="s">
        <v>205</v>
      </c>
      <c r="C40" s="5" t="s">
        <v>39</v>
      </c>
      <c r="D40" s="6">
        <v>67875</v>
      </c>
      <c r="E40" s="7">
        <v>45270</v>
      </c>
      <c r="F40" s="8">
        <v>1129.23</v>
      </c>
      <c r="G40" s="7">
        <v>45322</v>
      </c>
    </row>
    <row r="41" spans="1:7" s="13" customFormat="1" x14ac:dyDescent="0.25">
      <c r="A41">
        <v>41</v>
      </c>
      <c r="B41" s="9" t="s">
        <v>205</v>
      </c>
      <c r="C41" s="10" t="s">
        <v>40</v>
      </c>
      <c r="D41" s="11">
        <v>70054</v>
      </c>
      <c r="E41" s="12">
        <v>45168</v>
      </c>
      <c r="F41" s="10">
        <v>18.82</v>
      </c>
      <c r="G41" s="12">
        <v>45457</v>
      </c>
    </row>
    <row r="42" spans="1:7" x14ac:dyDescent="0.25">
      <c r="A42">
        <v>42</v>
      </c>
      <c r="B42" s="4" t="s">
        <v>205</v>
      </c>
      <c r="C42" s="5" t="s">
        <v>41</v>
      </c>
      <c r="D42" s="6">
        <v>69606</v>
      </c>
      <c r="E42" s="7">
        <v>45371</v>
      </c>
      <c r="F42" s="5">
        <v>225.75</v>
      </c>
      <c r="G42" s="7">
        <v>45464</v>
      </c>
    </row>
    <row r="43" spans="1:7" x14ac:dyDescent="0.25">
      <c r="A43">
        <v>43</v>
      </c>
      <c r="B43" s="4" t="s">
        <v>205</v>
      </c>
      <c r="C43" s="5" t="s">
        <v>41</v>
      </c>
      <c r="D43" s="6">
        <v>69606</v>
      </c>
      <c r="E43" s="7">
        <v>45402</v>
      </c>
      <c r="F43" s="5">
        <v>72</v>
      </c>
      <c r="G43" s="7">
        <v>45464</v>
      </c>
    </row>
    <row r="44" spans="1:7" x14ac:dyDescent="0.25">
      <c r="A44">
        <v>44</v>
      </c>
      <c r="B44" s="4" t="s">
        <v>205</v>
      </c>
      <c r="C44" s="5" t="s">
        <v>42</v>
      </c>
      <c r="D44" s="6">
        <v>15072022</v>
      </c>
      <c r="E44" s="7">
        <v>45127</v>
      </c>
      <c r="F44" s="5">
        <v>66.599999999999994</v>
      </c>
      <c r="G44" s="7">
        <v>45462</v>
      </c>
    </row>
    <row r="45" spans="1:7" x14ac:dyDescent="0.25">
      <c r="A45">
        <v>45</v>
      </c>
      <c r="B45" s="4" t="s">
        <v>205</v>
      </c>
      <c r="C45" s="5" t="s">
        <v>43</v>
      </c>
      <c r="D45" s="6">
        <v>70930</v>
      </c>
      <c r="E45" s="7">
        <v>44742</v>
      </c>
      <c r="F45" s="5">
        <v>196.24</v>
      </c>
      <c r="G45" s="7">
        <v>44949</v>
      </c>
    </row>
    <row r="46" spans="1:7" x14ac:dyDescent="0.25">
      <c r="A46">
        <v>46</v>
      </c>
      <c r="B46" s="4" t="s">
        <v>205</v>
      </c>
      <c r="C46" s="5" t="s">
        <v>43</v>
      </c>
      <c r="D46" s="6">
        <v>70930</v>
      </c>
      <c r="E46" s="7">
        <v>44772</v>
      </c>
      <c r="F46" s="5">
        <v>196.24</v>
      </c>
      <c r="G46" s="7">
        <v>44949</v>
      </c>
    </row>
    <row r="47" spans="1:7" x14ac:dyDescent="0.25">
      <c r="A47">
        <v>47</v>
      </c>
      <c r="B47" s="4" t="s">
        <v>205</v>
      </c>
      <c r="C47" s="5" t="s">
        <v>44</v>
      </c>
      <c r="D47" s="6">
        <v>66902</v>
      </c>
      <c r="E47" s="7">
        <v>45422</v>
      </c>
      <c r="F47" s="5">
        <v>296.17</v>
      </c>
      <c r="G47" s="7">
        <v>45488</v>
      </c>
    </row>
    <row r="48" spans="1:7" x14ac:dyDescent="0.25">
      <c r="A48">
        <v>48</v>
      </c>
      <c r="B48" s="4" t="s">
        <v>205</v>
      </c>
      <c r="C48" s="5" t="s">
        <v>45</v>
      </c>
      <c r="D48" s="6">
        <v>66614</v>
      </c>
      <c r="E48" s="7">
        <v>45402</v>
      </c>
      <c r="F48" s="5">
        <v>338.95</v>
      </c>
      <c r="G48" s="7">
        <v>45464</v>
      </c>
    </row>
    <row r="49" spans="1:7" x14ac:dyDescent="0.25">
      <c r="A49">
        <v>49</v>
      </c>
      <c r="B49" s="4" t="s">
        <v>205</v>
      </c>
      <c r="C49" s="5" t="s">
        <v>46</v>
      </c>
      <c r="D49" s="6">
        <v>68549</v>
      </c>
      <c r="E49" s="7">
        <v>44571</v>
      </c>
      <c r="F49" s="5">
        <v>390</v>
      </c>
      <c r="G49" s="7">
        <v>44991</v>
      </c>
    </row>
    <row r="50" spans="1:7" x14ac:dyDescent="0.25">
      <c r="A50">
        <v>50</v>
      </c>
      <c r="B50" s="4" t="s">
        <v>205</v>
      </c>
      <c r="C50" s="5" t="s">
        <v>47</v>
      </c>
      <c r="D50" s="6">
        <v>26425</v>
      </c>
      <c r="E50" s="7">
        <v>45402</v>
      </c>
      <c r="F50" s="8">
        <v>1511.11</v>
      </c>
      <c r="G50" s="7">
        <v>45463</v>
      </c>
    </row>
    <row r="51" spans="1:7" x14ac:dyDescent="0.25">
      <c r="A51">
        <v>51</v>
      </c>
      <c r="B51" s="4" t="s">
        <v>205</v>
      </c>
      <c r="C51" s="5" t="s">
        <v>48</v>
      </c>
      <c r="D51" s="6">
        <v>71712</v>
      </c>
      <c r="E51" s="7">
        <v>45392</v>
      </c>
      <c r="F51" s="5">
        <v>198.92</v>
      </c>
      <c r="G51" s="7">
        <v>45464</v>
      </c>
    </row>
    <row r="52" spans="1:7" x14ac:dyDescent="0.25">
      <c r="A52">
        <v>52</v>
      </c>
      <c r="B52" s="4" t="s">
        <v>205</v>
      </c>
      <c r="C52" s="5" t="s">
        <v>49</v>
      </c>
      <c r="D52" s="6">
        <v>69711</v>
      </c>
      <c r="E52" s="7">
        <v>44925</v>
      </c>
      <c r="F52" s="5">
        <v>308.55</v>
      </c>
      <c r="G52" s="7">
        <v>45028</v>
      </c>
    </row>
    <row r="53" spans="1:7" x14ac:dyDescent="0.25">
      <c r="A53">
        <v>53</v>
      </c>
      <c r="B53" s="4" t="s">
        <v>205</v>
      </c>
      <c r="C53" s="5" t="s">
        <v>50</v>
      </c>
      <c r="D53" s="6">
        <v>51560</v>
      </c>
      <c r="E53" s="7">
        <v>45250</v>
      </c>
      <c r="F53" s="5">
        <v>578.54999999999995</v>
      </c>
      <c r="G53" s="7">
        <v>45322</v>
      </c>
    </row>
    <row r="54" spans="1:7" x14ac:dyDescent="0.25">
      <c r="A54">
        <v>54</v>
      </c>
      <c r="B54" s="4" t="s">
        <v>205</v>
      </c>
      <c r="C54" s="5" t="s">
        <v>50</v>
      </c>
      <c r="D54" s="6">
        <v>51560</v>
      </c>
      <c r="E54" s="7">
        <v>45280</v>
      </c>
      <c r="F54" s="5">
        <v>578.54999999999995</v>
      </c>
      <c r="G54" s="7">
        <v>45322</v>
      </c>
    </row>
    <row r="55" spans="1:7" x14ac:dyDescent="0.25">
      <c r="A55">
        <v>55</v>
      </c>
      <c r="B55" s="4" t="s">
        <v>205</v>
      </c>
      <c r="C55" s="5" t="s">
        <v>51</v>
      </c>
      <c r="D55" s="6">
        <v>69288</v>
      </c>
      <c r="E55" s="7">
        <v>44748</v>
      </c>
      <c r="F55" s="5">
        <v>176.8</v>
      </c>
      <c r="G55" s="7">
        <v>45457</v>
      </c>
    </row>
    <row r="56" spans="1:7" x14ac:dyDescent="0.25">
      <c r="A56">
        <v>56</v>
      </c>
      <c r="B56" s="4" t="s">
        <v>205</v>
      </c>
      <c r="C56" s="5" t="s">
        <v>52</v>
      </c>
      <c r="D56" s="6">
        <v>69036</v>
      </c>
      <c r="E56" s="7">
        <v>45260</v>
      </c>
      <c r="F56" s="5">
        <v>236.4</v>
      </c>
      <c r="G56" s="7">
        <v>45323</v>
      </c>
    </row>
    <row r="57" spans="1:7" x14ac:dyDescent="0.25">
      <c r="A57">
        <v>57</v>
      </c>
      <c r="B57" s="4" t="s">
        <v>205</v>
      </c>
      <c r="C57" s="5" t="s">
        <v>53</v>
      </c>
      <c r="D57" s="6">
        <v>62359</v>
      </c>
      <c r="E57" s="7">
        <v>45332</v>
      </c>
      <c r="F57" s="5">
        <v>27</v>
      </c>
      <c r="G57" s="7">
        <v>45545</v>
      </c>
    </row>
    <row r="58" spans="1:7" x14ac:dyDescent="0.25">
      <c r="A58">
        <v>58</v>
      </c>
      <c r="B58" s="4" t="s">
        <v>205</v>
      </c>
      <c r="C58" s="5" t="s">
        <v>54</v>
      </c>
      <c r="D58" s="6">
        <v>71867</v>
      </c>
      <c r="E58" s="7">
        <v>45402</v>
      </c>
      <c r="F58" s="5">
        <v>260.27</v>
      </c>
      <c r="G58" s="7">
        <v>45467</v>
      </c>
    </row>
    <row r="59" spans="1:7" x14ac:dyDescent="0.25">
      <c r="A59">
        <v>59</v>
      </c>
      <c r="B59" s="4" t="s">
        <v>205</v>
      </c>
      <c r="C59" s="5" t="s">
        <v>55</v>
      </c>
      <c r="D59" s="6">
        <v>68965</v>
      </c>
      <c r="E59" s="7">
        <v>45168</v>
      </c>
      <c r="F59" s="5">
        <v>659.67</v>
      </c>
      <c r="G59" s="7">
        <v>45253</v>
      </c>
    </row>
    <row r="60" spans="1:7" x14ac:dyDescent="0.25">
      <c r="A60">
        <v>60</v>
      </c>
      <c r="B60" s="4" t="s">
        <v>205</v>
      </c>
      <c r="C60" s="5" t="s">
        <v>56</v>
      </c>
      <c r="D60" s="6">
        <v>71204</v>
      </c>
      <c r="E60" s="7">
        <v>45280</v>
      </c>
      <c r="F60" s="8">
        <v>1423.88</v>
      </c>
      <c r="G60" s="7">
        <v>45323</v>
      </c>
    </row>
    <row r="61" spans="1:7" x14ac:dyDescent="0.25">
      <c r="A61">
        <v>61</v>
      </c>
      <c r="B61" s="4" t="s">
        <v>205</v>
      </c>
      <c r="C61" s="5" t="s">
        <v>57</v>
      </c>
      <c r="D61" s="6">
        <v>52808</v>
      </c>
      <c r="E61" s="7">
        <v>44530</v>
      </c>
      <c r="F61" s="5">
        <v>51.45</v>
      </c>
      <c r="G61" s="7">
        <v>44558</v>
      </c>
    </row>
    <row r="62" spans="1:7" x14ac:dyDescent="0.25">
      <c r="A62">
        <v>62</v>
      </c>
      <c r="B62" s="4" t="s">
        <v>205</v>
      </c>
      <c r="C62" s="5" t="s">
        <v>58</v>
      </c>
      <c r="D62" s="6">
        <v>71268</v>
      </c>
      <c r="E62" s="7">
        <v>45402</v>
      </c>
      <c r="F62" s="5">
        <v>767.32</v>
      </c>
      <c r="G62" s="7">
        <v>45476</v>
      </c>
    </row>
    <row r="63" spans="1:7" x14ac:dyDescent="0.25">
      <c r="A63">
        <v>63</v>
      </c>
      <c r="B63" s="4" t="s">
        <v>205</v>
      </c>
      <c r="C63" s="5" t="s">
        <v>59</v>
      </c>
      <c r="D63" s="6">
        <v>11131</v>
      </c>
      <c r="E63" s="7">
        <v>45407</v>
      </c>
      <c r="F63" s="5">
        <v>270.01</v>
      </c>
      <c r="G63" s="7">
        <v>45476</v>
      </c>
    </row>
    <row r="64" spans="1:7" x14ac:dyDescent="0.25">
      <c r="A64">
        <v>64</v>
      </c>
      <c r="B64" s="4" t="s">
        <v>205</v>
      </c>
      <c r="C64" s="5" t="s">
        <v>60</v>
      </c>
      <c r="D64" s="6">
        <v>29115</v>
      </c>
      <c r="E64" s="7">
        <v>44814</v>
      </c>
      <c r="F64" s="5">
        <v>180.68</v>
      </c>
      <c r="G64" s="7">
        <v>45160</v>
      </c>
    </row>
    <row r="65" spans="1:7" x14ac:dyDescent="0.25">
      <c r="A65">
        <v>65</v>
      </c>
      <c r="B65" s="4" t="s">
        <v>205</v>
      </c>
      <c r="C65" s="5" t="s">
        <v>61</v>
      </c>
      <c r="D65" s="6">
        <v>24996</v>
      </c>
      <c r="E65" s="7">
        <v>45301</v>
      </c>
      <c r="F65" s="5">
        <v>788.88</v>
      </c>
      <c r="G65" s="7">
        <v>45323</v>
      </c>
    </row>
    <row r="66" spans="1:7" x14ac:dyDescent="0.25">
      <c r="A66">
        <v>66</v>
      </c>
      <c r="B66" s="4" t="s">
        <v>205</v>
      </c>
      <c r="C66" s="5" t="s">
        <v>62</v>
      </c>
      <c r="D66" s="6">
        <v>69382</v>
      </c>
      <c r="E66" s="7">
        <v>45036</v>
      </c>
      <c r="F66" s="5">
        <v>654.16</v>
      </c>
      <c r="G66" s="7">
        <v>45160</v>
      </c>
    </row>
    <row r="67" spans="1:7" x14ac:dyDescent="0.25">
      <c r="A67">
        <v>67</v>
      </c>
      <c r="B67" s="4" t="s">
        <v>205</v>
      </c>
      <c r="C67" s="5" t="s">
        <v>63</v>
      </c>
      <c r="D67" s="6">
        <v>61410</v>
      </c>
      <c r="E67" s="7">
        <v>45056</v>
      </c>
      <c r="F67" s="5">
        <v>274.42</v>
      </c>
      <c r="G67" s="7">
        <v>45090</v>
      </c>
    </row>
    <row r="68" spans="1:7" x14ac:dyDescent="0.25">
      <c r="A68">
        <v>68</v>
      </c>
      <c r="B68" s="4" t="s">
        <v>205</v>
      </c>
      <c r="C68" s="5" t="s">
        <v>64</v>
      </c>
      <c r="D68" s="6">
        <v>66673</v>
      </c>
      <c r="E68" s="7">
        <v>44255</v>
      </c>
      <c r="F68" s="5">
        <v>632.32000000000005</v>
      </c>
      <c r="G68" s="7">
        <v>44467</v>
      </c>
    </row>
    <row r="69" spans="1:7" x14ac:dyDescent="0.25">
      <c r="A69">
        <v>69</v>
      </c>
      <c r="B69" s="4" t="s">
        <v>205</v>
      </c>
      <c r="C69" s="5" t="s">
        <v>65</v>
      </c>
      <c r="D69" s="6">
        <v>67072</v>
      </c>
      <c r="E69" s="7">
        <v>44925</v>
      </c>
      <c r="F69" s="5">
        <v>483.33</v>
      </c>
      <c r="G69" s="7">
        <v>45027</v>
      </c>
    </row>
    <row r="70" spans="1:7" x14ac:dyDescent="0.25">
      <c r="A70">
        <v>70</v>
      </c>
      <c r="B70" s="4" t="s">
        <v>205</v>
      </c>
      <c r="C70" s="5" t="s">
        <v>66</v>
      </c>
      <c r="D70" s="6">
        <v>10253</v>
      </c>
      <c r="E70" s="7">
        <v>45412</v>
      </c>
      <c r="F70" s="8">
        <v>3318.87</v>
      </c>
      <c r="G70" s="7">
        <v>45488</v>
      </c>
    </row>
    <row r="71" spans="1:7" x14ac:dyDescent="0.25">
      <c r="A71">
        <v>71</v>
      </c>
      <c r="B71" s="4" t="s">
        <v>205</v>
      </c>
      <c r="C71" s="5" t="s">
        <v>67</v>
      </c>
      <c r="D71" s="6">
        <v>43005</v>
      </c>
      <c r="E71" s="7">
        <v>45412</v>
      </c>
      <c r="F71" s="5">
        <v>293.19</v>
      </c>
      <c r="G71" s="7">
        <v>45488</v>
      </c>
    </row>
    <row r="72" spans="1:7" x14ac:dyDescent="0.25">
      <c r="A72">
        <v>72</v>
      </c>
      <c r="B72" s="4" t="s">
        <v>205</v>
      </c>
      <c r="C72" s="5" t="s">
        <v>68</v>
      </c>
      <c r="D72" s="6">
        <v>27180</v>
      </c>
      <c r="E72" s="7">
        <v>44428</v>
      </c>
      <c r="F72" s="5">
        <v>662.62</v>
      </c>
      <c r="G72" s="7">
        <v>44526</v>
      </c>
    </row>
    <row r="73" spans="1:7" x14ac:dyDescent="0.25">
      <c r="A73">
        <v>73</v>
      </c>
      <c r="B73" s="4" t="s">
        <v>205</v>
      </c>
      <c r="C73" s="5" t="s">
        <v>69</v>
      </c>
      <c r="D73" s="6">
        <v>63252</v>
      </c>
      <c r="E73" s="7">
        <v>44956</v>
      </c>
      <c r="F73" s="5">
        <v>306.83999999999997</v>
      </c>
      <c r="G73" s="7">
        <v>45027</v>
      </c>
    </row>
    <row r="74" spans="1:7" x14ac:dyDescent="0.25">
      <c r="A74">
        <v>74</v>
      </c>
      <c r="B74" s="4" t="s">
        <v>205</v>
      </c>
      <c r="C74" s="5" t="s">
        <v>70</v>
      </c>
      <c r="D74" s="6">
        <v>29225</v>
      </c>
      <c r="E74" s="7">
        <v>45412</v>
      </c>
      <c r="F74" s="5">
        <v>175.38</v>
      </c>
      <c r="G74" s="7">
        <v>45488</v>
      </c>
    </row>
    <row r="75" spans="1:7" x14ac:dyDescent="0.25">
      <c r="A75">
        <v>75</v>
      </c>
      <c r="B75" s="4" t="s">
        <v>205</v>
      </c>
      <c r="C75" s="5" t="s">
        <v>71</v>
      </c>
      <c r="D75" s="6">
        <v>14084</v>
      </c>
      <c r="E75" s="7">
        <v>45280</v>
      </c>
      <c r="F75" s="8">
        <v>3650.79</v>
      </c>
      <c r="G75" s="7">
        <v>45323</v>
      </c>
    </row>
    <row r="76" spans="1:7" x14ac:dyDescent="0.25">
      <c r="A76">
        <v>76</v>
      </c>
      <c r="B76" s="4" t="s">
        <v>205</v>
      </c>
      <c r="C76" s="5" t="s">
        <v>72</v>
      </c>
      <c r="D76" s="6">
        <v>61359</v>
      </c>
      <c r="E76" s="7">
        <v>45412</v>
      </c>
      <c r="F76" s="5">
        <v>434.09</v>
      </c>
      <c r="G76" s="7">
        <v>45488</v>
      </c>
    </row>
    <row r="77" spans="1:7" x14ac:dyDescent="0.25">
      <c r="A77">
        <v>77</v>
      </c>
      <c r="B77" s="4" t="s">
        <v>205</v>
      </c>
      <c r="C77" s="5" t="s">
        <v>73</v>
      </c>
      <c r="D77" s="6">
        <v>69849</v>
      </c>
      <c r="E77" s="7">
        <v>45005</v>
      </c>
      <c r="F77" s="5">
        <v>497.49</v>
      </c>
      <c r="G77" s="7">
        <v>45084</v>
      </c>
    </row>
    <row r="78" spans="1:7" x14ac:dyDescent="0.25">
      <c r="A78">
        <v>78</v>
      </c>
      <c r="B78" s="4" t="s">
        <v>205</v>
      </c>
      <c r="C78" s="5" t="s">
        <v>74</v>
      </c>
      <c r="D78" s="6">
        <v>64739</v>
      </c>
      <c r="E78" s="7">
        <v>45371</v>
      </c>
      <c r="F78" s="5">
        <v>329.88</v>
      </c>
      <c r="G78" s="7">
        <v>45464</v>
      </c>
    </row>
    <row r="79" spans="1:7" x14ac:dyDescent="0.25">
      <c r="A79">
        <v>79</v>
      </c>
      <c r="B79" s="4" t="s">
        <v>205</v>
      </c>
      <c r="C79" s="5" t="s">
        <v>75</v>
      </c>
      <c r="D79" s="6">
        <v>41666</v>
      </c>
      <c r="E79" s="7">
        <v>45392</v>
      </c>
      <c r="F79" s="5">
        <v>870.46</v>
      </c>
      <c r="G79" s="7">
        <v>45463</v>
      </c>
    </row>
    <row r="80" spans="1:7" x14ac:dyDescent="0.25">
      <c r="A80">
        <v>80</v>
      </c>
      <c r="B80" s="4" t="s">
        <v>205</v>
      </c>
      <c r="C80" s="5" t="s">
        <v>76</v>
      </c>
      <c r="D80" s="6">
        <v>26579</v>
      </c>
      <c r="E80" s="7">
        <v>45245</v>
      </c>
      <c r="F80" s="5">
        <v>824.8</v>
      </c>
      <c r="G80" s="7">
        <v>45322</v>
      </c>
    </row>
    <row r="81" spans="1:7" x14ac:dyDescent="0.25">
      <c r="A81">
        <v>81</v>
      </c>
      <c r="B81" s="4" t="s">
        <v>205</v>
      </c>
      <c r="C81" s="5" t="s">
        <v>76</v>
      </c>
      <c r="D81" s="6">
        <v>26579</v>
      </c>
      <c r="E81" s="7">
        <v>45275</v>
      </c>
      <c r="F81" s="5">
        <v>824.8</v>
      </c>
      <c r="G81" s="7">
        <v>45322</v>
      </c>
    </row>
    <row r="82" spans="1:7" x14ac:dyDescent="0.25">
      <c r="A82">
        <v>82</v>
      </c>
      <c r="B82" s="4" t="s">
        <v>205</v>
      </c>
      <c r="C82" s="5" t="s">
        <v>77</v>
      </c>
      <c r="D82" s="6">
        <v>61103</v>
      </c>
      <c r="E82" s="7">
        <v>45402</v>
      </c>
      <c r="F82" s="5">
        <v>300.85000000000002</v>
      </c>
      <c r="G82" s="7">
        <v>45464</v>
      </c>
    </row>
    <row r="83" spans="1:7" x14ac:dyDescent="0.25">
      <c r="A83">
        <v>83</v>
      </c>
      <c r="B83" s="4" t="s">
        <v>205</v>
      </c>
      <c r="C83" s="5" t="s">
        <v>78</v>
      </c>
      <c r="D83" s="6">
        <v>52980</v>
      </c>
      <c r="E83" s="7">
        <v>45209</v>
      </c>
      <c r="F83" s="5">
        <v>422.21</v>
      </c>
      <c r="G83" s="7">
        <v>45231</v>
      </c>
    </row>
    <row r="84" spans="1:7" x14ac:dyDescent="0.25">
      <c r="A84">
        <v>84</v>
      </c>
      <c r="B84" s="4" t="s">
        <v>205</v>
      </c>
      <c r="C84" s="5" t="s">
        <v>79</v>
      </c>
      <c r="D84" s="6">
        <v>64232</v>
      </c>
      <c r="E84" s="7">
        <v>45412</v>
      </c>
      <c r="F84" s="5">
        <v>296.24</v>
      </c>
      <c r="G84" s="7">
        <v>45476</v>
      </c>
    </row>
    <row r="85" spans="1:7" x14ac:dyDescent="0.25">
      <c r="A85">
        <v>85</v>
      </c>
      <c r="B85" s="4" t="s">
        <v>205</v>
      </c>
      <c r="C85" s="5" t="s">
        <v>79</v>
      </c>
      <c r="D85" s="6">
        <v>64232</v>
      </c>
      <c r="E85" s="7">
        <v>45351</v>
      </c>
      <c r="F85" s="5">
        <v>296.24</v>
      </c>
      <c r="G85" s="7">
        <v>45464</v>
      </c>
    </row>
    <row r="86" spans="1:7" x14ac:dyDescent="0.25">
      <c r="A86">
        <v>86</v>
      </c>
      <c r="B86" s="4" t="s">
        <v>205</v>
      </c>
      <c r="C86" s="5" t="s">
        <v>79</v>
      </c>
      <c r="D86" s="6">
        <v>64232</v>
      </c>
      <c r="E86" s="7">
        <v>45381</v>
      </c>
      <c r="F86" s="5">
        <v>296.24</v>
      </c>
      <c r="G86" s="7">
        <v>45477</v>
      </c>
    </row>
    <row r="87" spans="1:7" x14ac:dyDescent="0.25">
      <c r="A87">
        <v>87</v>
      </c>
      <c r="B87" s="4" t="s">
        <v>205</v>
      </c>
      <c r="C87" s="5" t="s">
        <v>80</v>
      </c>
      <c r="D87" s="6">
        <v>64022</v>
      </c>
      <c r="E87" s="7">
        <v>45290</v>
      </c>
      <c r="F87" s="5">
        <v>625.58000000000004</v>
      </c>
      <c r="G87" s="7">
        <v>45323</v>
      </c>
    </row>
    <row r="88" spans="1:7" x14ac:dyDescent="0.25">
      <c r="A88">
        <v>88</v>
      </c>
      <c r="B88" s="4" t="s">
        <v>205</v>
      </c>
      <c r="C88" s="5" t="s">
        <v>81</v>
      </c>
      <c r="D88" s="6">
        <v>56024</v>
      </c>
      <c r="E88" s="7">
        <v>45015</v>
      </c>
      <c r="F88" s="5">
        <v>250.82</v>
      </c>
      <c r="G88" s="7">
        <v>45169</v>
      </c>
    </row>
    <row r="89" spans="1:7" x14ac:dyDescent="0.25">
      <c r="A89">
        <v>89</v>
      </c>
      <c r="B89" s="4" t="s">
        <v>205</v>
      </c>
      <c r="C89" s="5" t="s">
        <v>82</v>
      </c>
      <c r="D89" s="6">
        <v>66490</v>
      </c>
      <c r="E89" s="7">
        <v>45127</v>
      </c>
      <c r="F89" s="5">
        <v>270.14999999999998</v>
      </c>
      <c r="G89" s="7">
        <v>45239</v>
      </c>
    </row>
    <row r="90" spans="1:7" x14ac:dyDescent="0.25">
      <c r="A90">
        <v>90</v>
      </c>
      <c r="B90" s="4" t="s">
        <v>205</v>
      </c>
      <c r="C90" s="5" t="s">
        <v>82</v>
      </c>
      <c r="D90" s="6">
        <v>66490</v>
      </c>
      <c r="E90" s="7">
        <v>45097</v>
      </c>
      <c r="F90" s="5">
        <v>270.14999999999998</v>
      </c>
      <c r="G90" s="7">
        <v>45239</v>
      </c>
    </row>
    <row r="91" spans="1:7" x14ac:dyDescent="0.25">
      <c r="A91">
        <v>91</v>
      </c>
      <c r="B91" s="4" t="s">
        <v>205</v>
      </c>
      <c r="C91" s="5" t="s">
        <v>83</v>
      </c>
      <c r="D91" s="6">
        <v>57111</v>
      </c>
      <c r="E91" s="7">
        <v>45250</v>
      </c>
      <c r="F91" s="5">
        <v>250.82</v>
      </c>
      <c r="G91" s="7">
        <v>45323</v>
      </c>
    </row>
    <row r="92" spans="1:7" x14ac:dyDescent="0.25">
      <c r="A92">
        <v>92</v>
      </c>
      <c r="B92" s="4" t="s">
        <v>205</v>
      </c>
      <c r="C92" s="5" t="s">
        <v>84</v>
      </c>
      <c r="D92" s="6">
        <v>69069</v>
      </c>
      <c r="E92" s="7">
        <v>45412</v>
      </c>
      <c r="F92" s="5">
        <v>296.93</v>
      </c>
      <c r="G92" s="7">
        <v>45488</v>
      </c>
    </row>
    <row r="93" spans="1:7" x14ac:dyDescent="0.25">
      <c r="A93">
        <v>93</v>
      </c>
      <c r="B93" s="4" t="s">
        <v>205</v>
      </c>
      <c r="C93" s="5" t="s">
        <v>85</v>
      </c>
      <c r="D93" s="6">
        <v>67982</v>
      </c>
      <c r="E93" s="7">
        <v>44449</v>
      </c>
      <c r="F93" s="5">
        <v>646.39</v>
      </c>
      <c r="G93" s="7">
        <v>44558</v>
      </c>
    </row>
    <row r="94" spans="1:7" x14ac:dyDescent="0.25">
      <c r="A94">
        <v>94</v>
      </c>
      <c r="B94" s="4" t="s">
        <v>205</v>
      </c>
      <c r="C94" s="5" t="s">
        <v>86</v>
      </c>
      <c r="D94" s="6">
        <v>70479</v>
      </c>
      <c r="E94" s="7">
        <v>45171</v>
      </c>
      <c r="F94" s="5">
        <v>249.3</v>
      </c>
      <c r="G94" s="7">
        <v>45261</v>
      </c>
    </row>
    <row r="95" spans="1:7" x14ac:dyDescent="0.25">
      <c r="A95">
        <v>95</v>
      </c>
      <c r="B95" s="4" t="s">
        <v>205</v>
      </c>
      <c r="C95" s="5" t="s">
        <v>87</v>
      </c>
      <c r="D95" s="6">
        <v>70168</v>
      </c>
      <c r="E95" s="7">
        <v>44793</v>
      </c>
      <c r="F95" s="5">
        <v>293.67</v>
      </c>
      <c r="G95" s="7">
        <v>44925</v>
      </c>
    </row>
    <row r="96" spans="1:7" x14ac:dyDescent="0.25">
      <c r="A96">
        <v>96</v>
      </c>
      <c r="B96" s="4" t="s">
        <v>205</v>
      </c>
      <c r="C96" s="5" t="s">
        <v>88</v>
      </c>
      <c r="D96" s="6">
        <v>51640</v>
      </c>
      <c r="E96" s="7">
        <v>45371</v>
      </c>
      <c r="F96" s="5">
        <v>274.97000000000003</v>
      </c>
      <c r="G96" s="7">
        <v>45463</v>
      </c>
    </row>
    <row r="97" spans="1:7" x14ac:dyDescent="0.25">
      <c r="A97">
        <v>97</v>
      </c>
      <c r="B97" s="4" t="s">
        <v>205</v>
      </c>
      <c r="C97" s="5" t="s">
        <v>88</v>
      </c>
      <c r="D97" s="6">
        <v>51640</v>
      </c>
      <c r="E97" s="7">
        <v>45402</v>
      </c>
      <c r="F97" s="5">
        <v>274.97000000000003</v>
      </c>
      <c r="G97" s="7">
        <v>45463</v>
      </c>
    </row>
    <row r="98" spans="1:7" x14ac:dyDescent="0.25">
      <c r="A98">
        <v>98</v>
      </c>
      <c r="B98" s="4" t="s">
        <v>205</v>
      </c>
      <c r="C98" s="5" t="s">
        <v>89</v>
      </c>
      <c r="D98" s="6">
        <v>67939</v>
      </c>
      <c r="E98" s="7">
        <v>44824</v>
      </c>
      <c r="F98" s="5">
        <v>198.61</v>
      </c>
      <c r="G98" s="7">
        <v>44949</v>
      </c>
    </row>
    <row r="99" spans="1:7" x14ac:dyDescent="0.25">
      <c r="A99">
        <v>99</v>
      </c>
      <c r="B99" s="4" t="s">
        <v>205</v>
      </c>
      <c r="C99" s="5" t="s">
        <v>90</v>
      </c>
      <c r="D99" s="6">
        <v>71164</v>
      </c>
      <c r="E99" s="7">
        <v>45280</v>
      </c>
      <c r="F99" s="5">
        <v>270.11</v>
      </c>
      <c r="G99" s="7">
        <v>45323</v>
      </c>
    </row>
    <row r="100" spans="1:7" x14ac:dyDescent="0.25">
      <c r="A100">
        <v>100</v>
      </c>
      <c r="B100" s="4" t="s">
        <v>205</v>
      </c>
      <c r="C100" s="5" t="s">
        <v>91</v>
      </c>
      <c r="D100" s="6">
        <v>56191</v>
      </c>
      <c r="E100" s="7">
        <v>44165</v>
      </c>
      <c r="F100" s="5">
        <v>46.46</v>
      </c>
      <c r="G100" s="7">
        <v>44217</v>
      </c>
    </row>
    <row r="101" spans="1:7" x14ac:dyDescent="0.25">
      <c r="A101">
        <v>101</v>
      </c>
      <c r="B101" s="4" t="s">
        <v>205</v>
      </c>
      <c r="C101" s="5" t="s">
        <v>92</v>
      </c>
      <c r="D101" s="6">
        <v>69878</v>
      </c>
      <c r="E101" s="7">
        <v>44915</v>
      </c>
      <c r="F101" s="5">
        <v>175.86</v>
      </c>
      <c r="G101" s="7">
        <v>45028</v>
      </c>
    </row>
    <row r="102" spans="1:7" x14ac:dyDescent="0.25">
      <c r="A102">
        <v>102</v>
      </c>
      <c r="B102" s="4" t="s">
        <v>205</v>
      </c>
      <c r="C102" s="5" t="s">
        <v>92</v>
      </c>
      <c r="D102" s="6">
        <v>69899</v>
      </c>
      <c r="E102" s="7">
        <v>44671</v>
      </c>
      <c r="F102" s="5">
        <v>5.35</v>
      </c>
      <c r="G102" s="7">
        <v>45314</v>
      </c>
    </row>
    <row r="103" spans="1:7" x14ac:dyDescent="0.25">
      <c r="A103">
        <v>103</v>
      </c>
      <c r="B103" s="4" t="s">
        <v>205</v>
      </c>
      <c r="C103" s="5" t="s">
        <v>93</v>
      </c>
      <c r="D103" s="6">
        <v>71787</v>
      </c>
      <c r="E103" s="7">
        <v>45402</v>
      </c>
      <c r="F103" s="5">
        <v>215.14</v>
      </c>
      <c r="G103" s="7">
        <v>45464</v>
      </c>
    </row>
    <row r="104" spans="1:7" x14ac:dyDescent="0.25">
      <c r="A104">
        <v>104</v>
      </c>
      <c r="B104" s="4" t="s">
        <v>205</v>
      </c>
      <c r="C104" s="5" t="s">
        <v>93</v>
      </c>
      <c r="D104" s="6">
        <v>71787</v>
      </c>
      <c r="E104" s="7">
        <v>45371</v>
      </c>
      <c r="F104" s="5">
        <v>215.14</v>
      </c>
      <c r="G104" s="7">
        <v>45464</v>
      </c>
    </row>
    <row r="105" spans="1:7" x14ac:dyDescent="0.25">
      <c r="A105">
        <v>105</v>
      </c>
      <c r="B105" s="4" t="s">
        <v>205</v>
      </c>
      <c r="C105" s="5" t="s">
        <v>94</v>
      </c>
      <c r="D105" s="6">
        <v>66555</v>
      </c>
      <c r="E105" s="7">
        <v>44226</v>
      </c>
      <c r="F105" s="5">
        <v>180.68</v>
      </c>
      <c r="G105" s="7">
        <v>44700</v>
      </c>
    </row>
    <row r="106" spans="1:7" x14ac:dyDescent="0.25">
      <c r="A106">
        <v>106</v>
      </c>
      <c r="B106" s="4" t="s">
        <v>205</v>
      </c>
      <c r="C106" s="5" t="s">
        <v>95</v>
      </c>
      <c r="D106" s="6">
        <v>68907</v>
      </c>
      <c r="E106" s="7">
        <v>44946</v>
      </c>
      <c r="F106" s="5">
        <v>256.11</v>
      </c>
      <c r="G106" s="7">
        <v>45022</v>
      </c>
    </row>
    <row r="107" spans="1:7" x14ac:dyDescent="0.25">
      <c r="A107">
        <v>107</v>
      </c>
      <c r="B107" s="4" t="s">
        <v>205</v>
      </c>
      <c r="C107" s="5" t="s">
        <v>95</v>
      </c>
      <c r="D107" s="6">
        <v>68907</v>
      </c>
      <c r="E107" s="7">
        <v>44915</v>
      </c>
      <c r="F107" s="5">
        <v>272.91000000000003</v>
      </c>
      <c r="G107" s="7">
        <v>45022</v>
      </c>
    </row>
    <row r="108" spans="1:7" x14ac:dyDescent="0.25">
      <c r="A108">
        <v>108</v>
      </c>
      <c r="B108" s="4" t="s">
        <v>205</v>
      </c>
      <c r="C108" s="5" t="s">
        <v>96</v>
      </c>
      <c r="D108" s="6">
        <v>67206</v>
      </c>
      <c r="E108" s="7">
        <v>44711</v>
      </c>
      <c r="F108" s="5">
        <v>628.61</v>
      </c>
      <c r="G108" s="7">
        <v>44785</v>
      </c>
    </row>
    <row r="109" spans="1:7" x14ac:dyDescent="0.25">
      <c r="A109">
        <v>109</v>
      </c>
      <c r="B109" s="4" t="s">
        <v>205</v>
      </c>
      <c r="C109" s="5" t="s">
        <v>97</v>
      </c>
      <c r="D109" s="6">
        <v>49318</v>
      </c>
      <c r="E109" s="7">
        <v>45301</v>
      </c>
      <c r="F109" s="5">
        <v>266.2</v>
      </c>
      <c r="G109" s="7">
        <v>45323</v>
      </c>
    </row>
    <row r="110" spans="1:7" x14ac:dyDescent="0.25">
      <c r="A110">
        <v>110</v>
      </c>
      <c r="B110" s="4" t="s">
        <v>205</v>
      </c>
      <c r="C110" s="5" t="s">
        <v>98</v>
      </c>
      <c r="D110" s="6">
        <v>56060</v>
      </c>
      <c r="E110" s="7">
        <v>44540</v>
      </c>
      <c r="F110" s="5">
        <v>186.84</v>
      </c>
      <c r="G110" s="7">
        <v>44679</v>
      </c>
    </row>
    <row r="111" spans="1:7" x14ac:dyDescent="0.25">
      <c r="A111">
        <v>111</v>
      </c>
      <c r="B111" s="4" t="s">
        <v>205</v>
      </c>
      <c r="C111" s="5" t="s">
        <v>99</v>
      </c>
      <c r="D111" s="6">
        <v>57563</v>
      </c>
      <c r="E111" s="7">
        <v>44397</v>
      </c>
      <c r="F111" s="5">
        <v>496.09</v>
      </c>
      <c r="G111" s="7">
        <v>44526</v>
      </c>
    </row>
    <row r="112" spans="1:7" x14ac:dyDescent="0.25">
      <c r="A112">
        <v>112</v>
      </c>
      <c r="B112" s="4" t="s">
        <v>205</v>
      </c>
      <c r="C112" s="5" t="s">
        <v>100</v>
      </c>
      <c r="D112" s="6">
        <v>46986</v>
      </c>
      <c r="E112" s="7">
        <v>45402</v>
      </c>
      <c r="F112" s="5">
        <v>715.1</v>
      </c>
      <c r="G112" s="7">
        <v>45456</v>
      </c>
    </row>
    <row r="113" spans="1:7" x14ac:dyDescent="0.25">
      <c r="A113">
        <v>113</v>
      </c>
      <c r="B113" s="4" t="s">
        <v>205</v>
      </c>
      <c r="C113" s="5" t="s">
        <v>101</v>
      </c>
      <c r="D113" s="6">
        <v>31287</v>
      </c>
      <c r="E113" s="7">
        <v>44428</v>
      </c>
      <c r="F113" s="5">
        <v>39.630000000000003</v>
      </c>
      <c r="G113" s="7">
        <v>44454</v>
      </c>
    </row>
    <row r="114" spans="1:7" x14ac:dyDescent="0.25">
      <c r="A114">
        <v>114</v>
      </c>
      <c r="B114" s="4" t="s">
        <v>205</v>
      </c>
      <c r="C114" s="5" t="s">
        <v>102</v>
      </c>
      <c r="D114" s="6">
        <v>44606</v>
      </c>
      <c r="E114" s="7">
        <v>45199</v>
      </c>
      <c r="F114" s="5">
        <v>79.2</v>
      </c>
      <c r="G114" s="7">
        <v>45328</v>
      </c>
    </row>
    <row r="115" spans="1:7" x14ac:dyDescent="0.25">
      <c r="A115">
        <v>115</v>
      </c>
      <c r="B115" s="4" t="s">
        <v>205</v>
      </c>
      <c r="C115" s="5" t="s">
        <v>103</v>
      </c>
      <c r="D115" s="6">
        <v>70422</v>
      </c>
      <c r="E115" s="7">
        <v>44915</v>
      </c>
      <c r="F115" s="5">
        <v>264.16000000000003</v>
      </c>
      <c r="G115" s="7">
        <v>45028</v>
      </c>
    </row>
    <row r="116" spans="1:7" x14ac:dyDescent="0.25">
      <c r="A116">
        <v>116</v>
      </c>
      <c r="B116" s="4" t="s">
        <v>205</v>
      </c>
      <c r="C116" s="5" t="s">
        <v>104</v>
      </c>
      <c r="D116" s="6">
        <v>67330</v>
      </c>
      <c r="E116" s="7">
        <v>44650</v>
      </c>
      <c r="F116" s="5">
        <v>526.45000000000005</v>
      </c>
      <c r="G116" s="7">
        <v>44763</v>
      </c>
    </row>
    <row r="117" spans="1:7" x14ac:dyDescent="0.25">
      <c r="A117">
        <v>117</v>
      </c>
      <c r="B117" s="4" t="s">
        <v>205</v>
      </c>
      <c r="C117" s="5" t="s">
        <v>104</v>
      </c>
      <c r="D117" s="6">
        <v>67330</v>
      </c>
      <c r="E117" s="7">
        <v>44681</v>
      </c>
      <c r="F117" s="5">
        <v>531.48</v>
      </c>
      <c r="G117" s="7">
        <v>44763</v>
      </c>
    </row>
    <row r="118" spans="1:7" x14ac:dyDescent="0.25">
      <c r="A118">
        <v>118</v>
      </c>
      <c r="B118" s="4" t="s">
        <v>205</v>
      </c>
      <c r="C118" s="5" t="s">
        <v>105</v>
      </c>
      <c r="D118" s="6">
        <v>11877</v>
      </c>
      <c r="E118" s="7">
        <v>44306</v>
      </c>
      <c r="F118" s="5">
        <v>577.01</v>
      </c>
      <c r="G118" s="7">
        <v>44404</v>
      </c>
    </row>
    <row r="119" spans="1:7" x14ac:dyDescent="0.25">
      <c r="A119">
        <v>119</v>
      </c>
      <c r="B119" s="4" t="s">
        <v>205</v>
      </c>
      <c r="C119" s="5" t="s">
        <v>106</v>
      </c>
      <c r="D119" s="6">
        <v>67875</v>
      </c>
      <c r="E119" s="7">
        <v>45240</v>
      </c>
      <c r="F119" s="8">
        <v>1129.23</v>
      </c>
      <c r="G119" s="7">
        <v>45322</v>
      </c>
    </row>
    <row r="120" spans="1:7" x14ac:dyDescent="0.25">
      <c r="A120">
        <v>120</v>
      </c>
      <c r="B120" s="4" t="s">
        <v>205</v>
      </c>
      <c r="C120" s="5" t="s">
        <v>106</v>
      </c>
      <c r="D120" s="6">
        <v>67875</v>
      </c>
      <c r="E120" s="7">
        <v>45270</v>
      </c>
      <c r="F120" s="8">
        <v>1129.23</v>
      </c>
      <c r="G120" s="7">
        <v>45322</v>
      </c>
    </row>
    <row r="121" spans="1:7" x14ac:dyDescent="0.25">
      <c r="A121">
        <v>121</v>
      </c>
      <c r="B121" s="4" t="s">
        <v>205</v>
      </c>
      <c r="C121" s="5" t="s">
        <v>106</v>
      </c>
      <c r="D121" s="6">
        <v>67508</v>
      </c>
      <c r="E121" s="7">
        <v>45270</v>
      </c>
      <c r="F121" s="5">
        <v>322.74</v>
      </c>
      <c r="G121" s="7">
        <v>45323</v>
      </c>
    </row>
    <row r="122" spans="1:7" x14ac:dyDescent="0.25">
      <c r="A122">
        <v>122</v>
      </c>
      <c r="B122" s="4" t="s">
        <v>205</v>
      </c>
      <c r="C122" s="5" t="s">
        <v>106</v>
      </c>
      <c r="D122" s="6">
        <v>67875</v>
      </c>
      <c r="E122" s="7">
        <v>45301</v>
      </c>
      <c r="F122" s="8">
        <v>1129.23</v>
      </c>
      <c r="G122" s="7">
        <v>45322</v>
      </c>
    </row>
    <row r="123" spans="1:7" x14ac:dyDescent="0.25">
      <c r="A123">
        <v>123</v>
      </c>
      <c r="B123" s="4" t="s">
        <v>205</v>
      </c>
      <c r="C123" s="5" t="s">
        <v>107</v>
      </c>
      <c r="D123" s="6">
        <v>70756</v>
      </c>
      <c r="E123" s="7">
        <v>44854</v>
      </c>
      <c r="F123" s="5">
        <v>246.38</v>
      </c>
      <c r="G123" s="7">
        <v>45002</v>
      </c>
    </row>
    <row r="124" spans="1:7" x14ac:dyDescent="0.25">
      <c r="A124">
        <v>124</v>
      </c>
      <c r="B124" s="4" t="s">
        <v>205</v>
      </c>
      <c r="C124" s="5" t="s">
        <v>107</v>
      </c>
      <c r="D124" s="6">
        <v>70756</v>
      </c>
      <c r="E124" s="7">
        <v>44885</v>
      </c>
      <c r="F124" s="5">
        <v>246.38</v>
      </c>
      <c r="G124" s="7">
        <v>45002</v>
      </c>
    </row>
    <row r="125" spans="1:7" x14ac:dyDescent="0.25">
      <c r="A125">
        <v>125</v>
      </c>
      <c r="B125" s="4" t="s">
        <v>205</v>
      </c>
      <c r="C125" s="5" t="s">
        <v>108</v>
      </c>
      <c r="D125" s="6">
        <v>25153</v>
      </c>
      <c r="E125" s="7">
        <v>44586</v>
      </c>
      <c r="F125" s="5">
        <v>204.03</v>
      </c>
      <c r="G125" s="7">
        <v>44714</v>
      </c>
    </row>
    <row r="126" spans="1:7" x14ac:dyDescent="0.25">
      <c r="A126">
        <v>126</v>
      </c>
      <c r="B126" s="4" t="s">
        <v>205</v>
      </c>
      <c r="C126" s="5" t="s">
        <v>109</v>
      </c>
      <c r="D126" s="6">
        <v>70485</v>
      </c>
      <c r="E126" s="7">
        <v>45219</v>
      </c>
      <c r="F126" s="5">
        <v>911.19</v>
      </c>
      <c r="G126" s="7">
        <v>45322</v>
      </c>
    </row>
    <row r="127" spans="1:7" x14ac:dyDescent="0.25">
      <c r="A127">
        <v>127</v>
      </c>
      <c r="B127" s="4" t="s">
        <v>205</v>
      </c>
      <c r="C127" s="5" t="s">
        <v>110</v>
      </c>
      <c r="D127" s="6">
        <v>63860</v>
      </c>
      <c r="E127" s="7">
        <v>45270</v>
      </c>
      <c r="F127" s="5">
        <v>400.24</v>
      </c>
      <c r="G127" s="7">
        <v>45323</v>
      </c>
    </row>
    <row r="128" spans="1:7" x14ac:dyDescent="0.25">
      <c r="A128">
        <v>128</v>
      </c>
      <c r="B128" s="4" t="s">
        <v>205</v>
      </c>
      <c r="C128" s="5" t="s">
        <v>111</v>
      </c>
      <c r="D128" s="6">
        <v>29109</v>
      </c>
      <c r="E128" s="7">
        <v>45285</v>
      </c>
      <c r="F128" s="5">
        <v>227.52</v>
      </c>
      <c r="G128" s="7">
        <v>45323</v>
      </c>
    </row>
    <row r="129" spans="1:7" x14ac:dyDescent="0.25">
      <c r="A129">
        <v>129</v>
      </c>
      <c r="B129" s="4" t="s">
        <v>205</v>
      </c>
      <c r="C129" s="5" t="s">
        <v>112</v>
      </c>
      <c r="D129" s="6">
        <v>56186</v>
      </c>
      <c r="E129" s="7">
        <v>45392</v>
      </c>
      <c r="F129" s="5">
        <v>329.32</v>
      </c>
      <c r="G129" s="7">
        <v>45464</v>
      </c>
    </row>
    <row r="130" spans="1:7" x14ac:dyDescent="0.25">
      <c r="A130">
        <v>130</v>
      </c>
      <c r="B130" s="4" t="s">
        <v>205</v>
      </c>
      <c r="C130" s="5" t="s">
        <v>112</v>
      </c>
      <c r="D130" s="6">
        <v>56186</v>
      </c>
      <c r="E130" s="7">
        <v>45422</v>
      </c>
      <c r="F130" s="5">
        <v>329.32</v>
      </c>
      <c r="G130" s="7">
        <v>45488</v>
      </c>
    </row>
    <row r="131" spans="1:7" x14ac:dyDescent="0.25">
      <c r="A131">
        <v>131</v>
      </c>
      <c r="B131" s="4" t="s">
        <v>205</v>
      </c>
      <c r="C131" s="5" t="s">
        <v>112</v>
      </c>
      <c r="D131" s="6">
        <v>56186</v>
      </c>
      <c r="E131" s="7">
        <v>45361</v>
      </c>
      <c r="F131" s="5">
        <v>329.32</v>
      </c>
      <c r="G131" s="7">
        <v>45477</v>
      </c>
    </row>
    <row r="132" spans="1:7" x14ac:dyDescent="0.25">
      <c r="A132">
        <v>132</v>
      </c>
      <c r="B132" s="4" t="s">
        <v>205</v>
      </c>
      <c r="C132" s="5" t="s">
        <v>113</v>
      </c>
      <c r="D132" s="6">
        <v>67589</v>
      </c>
      <c r="E132" s="7">
        <v>45250</v>
      </c>
      <c r="F132" s="5">
        <v>204.22</v>
      </c>
      <c r="G132" s="7">
        <v>45323</v>
      </c>
    </row>
    <row r="133" spans="1:7" x14ac:dyDescent="0.25">
      <c r="A133">
        <v>133</v>
      </c>
      <c r="B133" s="4" t="s">
        <v>205</v>
      </c>
      <c r="C133" s="5" t="s">
        <v>113</v>
      </c>
      <c r="D133" s="6">
        <v>67589</v>
      </c>
      <c r="E133" s="7">
        <v>45219</v>
      </c>
      <c r="F133" s="5">
        <v>204.22</v>
      </c>
      <c r="G133" s="7">
        <v>45323</v>
      </c>
    </row>
    <row r="134" spans="1:7" x14ac:dyDescent="0.25">
      <c r="A134">
        <v>134</v>
      </c>
      <c r="B134" s="4" t="s">
        <v>205</v>
      </c>
      <c r="C134" s="5" t="s">
        <v>114</v>
      </c>
      <c r="D134" s="6">
        <v>47930</v>
      </c>
      <c r="E134" s="7">
        <v>45290</v>
      </c>
      <c r="F134" s="5">
        <v>283.98</v>
      </c>
      <c r="G134" s="7">
        <v>45323</v>
      </c>
    </row>
    <row r="135" spans="1:7" x14ac:dyDescent="0.25">
      <c r="A135">
        <v>135</v>
      </c>
      <c r="B135" s="4" t="s">
        <v>205</v>
      </c>
      <c r="C135" s="5" t="s">
        <v>115</v>
      </c>
      <c r="D135" s="6">
        <v>37429</v>
      </c>
      <c r="E135" s="7">
        <v>45285</v>
      </c>
      <c r="F135" s="5">
        <v>743.22</v>
      </c>
      <c r="G135" s="7">
        <v>45323</v>
      </c>
    </row>
    <row r="136" spans="1:7" x14ac:dyDescent="0.25">
      <c r="A136">
        <v>136</v>
      </c>
      <c r="B136" s="4" t="s">
        <v>205</v>
      </c>
      <c r="C136" s="5" t="s">
        <v>115</v>
      </c>
      <c r="D136" s="6">
        <v>37429</v>
      </c>
      <c r="E136" s="7">
        <v>45255</v>
      </c>
      <c r="F136" s="5">
        <v>743.22</v>
      </c>
      <c r="G136" s="7">
        <v>45323</v>
      </c>
    </row>
    <row r="137" spans="1:7" x14ac:dyDescent="0.25">
      <c r="A137">
        <v>137</v>
      </c>
      <c r="B137" s="4" t="s">
        <v>205</v>
      </c>
      <c r="C137" s="5" t="s">
        <v>116</v>
      </c>
      <c r="D137" s="6">
        <v>67228</v>
      </c>
      <c r="E137" s="7">
        <v>45240</v>
      </c>
      <c r="F137" s="5">
        <v>190.02</v>
      </c>
      <c r="G137" s="7">
        <v>45271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5348-9E6D-4BBF-A643-9D20568E819C}">
  <dimension ref="A1:I137"/>
  <sheetViews>
    <sheetView workbookViewId="0">
      <selection activeCell="E22" sqref="E22"/>
    </sheetView>
  </sheetViews>
  <sheetFormatPr defaultRowHeight="15" x14ac:dyDescent="0.25"/>
  <cols>
    <col min="2" max="2" width="17.85546875" bestFit="1" customWidth="1"/>
    <col min="3" max="3" width="14" style="17" bestFit="1" customWidth="1"/>
    <col min="4" max="4" width="10.85546875" style="17" bestFit="1" customWidth="1"/>
    <col min="5" max="5" width="22.5703125" style="17" bestFit="1" customWidth="1"/>
    <col min="6" max="6" width="14" bestFit="1" customWidth="1"/>
    <col min="7" max="7" width="15.5703125" bestFit="1" customWidth="1"/>
    <col min="8" max="8" width="33.85546875" bestFit="1" customWidth="1"/>
    <col min="9" max="9" width="25.85546875" bestFit="1" customWidth="1"/>
  </cols>
  <sheetData>
    <row r="1" spans="1:9" x14ac:dyDescent="0.25">
      <c r="A1" t="s">
        <v>119</v>
      </c>
      <c r="B1" s="1" t="s">
        <v>0</v>
      </c>
      <c r="C1" s="15" t="s">
        <v>280</v>
      </c>
      <c r="D1" s="19" t="s">
        <v>1</v>
      </c>
      <c r="E1" s="15" t="s">
        <v>2</v>
      </c>
      <c r="F1" s="2" t="s">
        <v>3</v>
      </c>
      <c r="G1" s="2" t="s">
        <v>4</v>
      </c>
      <c r="H1" s="14" t="s">
        <v>117</v>
      </c>
      <c r="I1" s="14" t="s">
        <v>120</v>
      </c>
    </row>
    <row r="2" spans="1:9" x14ac:dyDescent="0.25">
      <c r="A2">
        <v>2</v>
      </c>
      <c r="B2" s="4" t="s">
        <v>205</v>
      </c>
      <c r="C2" s="16" t="s">
        <v>6</v>
      </c>
      <c r="D2" s="20" t="s">
        <v>7</v>
      </c>
      <c r="E2" s="18">
        <v>44195</v>
      </c>
      <c r="F2" s="5">
        <v>524.16</v>
      </c>
      <c r="G2" s="7">
        <v>44301</v>
      </c>
      <c r="H2" t="str">
        <f>_xlfn.CONCAT(C2," ",E2," ",F2)</f>
        <v>000.847.793-06 44195 524,16</v>
      </c>
      <c r="I2" t="str">
        <f>VLOOKUP(H2,'[1]4706147 (2)'!$I$2:$I$135,1,0)</f>
        <v>000.847.793-06 44195 524,16</v>
      </c>
    </row>
    <row r="3" spans="1:9" x14ac:dyDescent="0.25">
      <c r="A3">
        <v>3</v>
      </c>
      <c r="B3" s="4" t="s">
        <v>205</v>
      </c>
      <c r="C3" s="16" t="s">
        <v>8</v>
      </c>
      <c r="D3" s="20">
        <v>70158</v>
      </c>
      <c r="E3" s="18">
        <v>45270</v>
      </c>
      <c r="F3" s="5">
        <v>203.12</v>
      </c>
      <c r="G3" s="7">
        <v>45323</v>
      </c>
      <c r="H3" t="str">
        <f t="shared" ref="H3:H6" si="0">_xlfn.CONCAT(C3," ",E3," ",F3)</f>
        <v>001.884.861-35 45270 203,12</v>
      </c>
      <c r="I3" t="str">
        <f>VLOOKUP(H3,'[1]4706147 (2)'!$I$2:$I$135,1,0)</f>
        <v>001.884.861-35 45270 203,12</v>
      </c>
    </row>
    <row r="4" spans="1:9" x14ac:dyDescent="0.25">
      <c r="A4">
        <v>4</v>
      </c>
      <c r="B4" s="4" t="s">
        <v>205</v>
      </c>
      <c r="C4" s="16" t="s">
        <v>9</v>
      </c>
      <c r="D4" s="20">
        <v>64058</v>
      </c>
      <c r="E4" s="18">
        <v>44995</v>
      </c>
      <c r="F4" s="5">
        <v>241.67</v>
      </c>
      <c r="G4" s="7">
        <v>45090</v>
      </c>
      <c r="H4" t="str">
        <f t="shared" si="0"/>
        <v>003.992.943-41 44995 241,67</v>
      </c>
      <c r="I4" t="str">
        <f>VLOOKUP(H4,'[1]4706147 (2)'!$I$2:$I$135,1,0)</f>
        <v>003.992.943-41 44995 241,67</v>
      </c>
    </row>
    <row r="5" spans="1:9" x14ac:dyDescent="0.25">
      <c r="A5">
        <v>5</v>
      </c>
      <c r="B5" s="4" t="s">
        <v>205</v>
      </c>
      <c r="C5" s="16" t="s">
        <v>9</v>
      </c>
      <c r="D5" s="20">
        <v>64058</v>
      </c>
      <c r="E5" s="18">
        <v>45026</v>
      </c>
      <c r="F5" s="5">
        <v>241.67</v>
      </c>
      <c r="G5" s="7"/>
      <c r="H5" t="str">
        <f t="shared" si="0"/>
        <v>003.992.943-41 45026 241,67</v>
      </c>
      <c r="I5" t="str">
        <f>VLOOKUP(H5,'[1]4706147 (2)'!$I$2:$I$135,1,0)</f>
        <v>003.992.943-41 45026 241,67</v>
      </c>
    </row>
    <row r="6" spans="1:9" x14ac:dyDescent="0.25">
      <c r="A6">
        <v>6</v>
      </c>
      <c r="B6" s="4" t="s">
        <v>205</v>
      </c>
      <c r="C6" s="16" t="s">
        <v>10</v>
      </c>
      <c r="D6" s="20">
        <v>69399</v>
      </c>
      <c r="E6" s="18">
        <v>45137</v>
      </c>
      <c r="F6" s="5">
        <v>170.73</v>
      </c>
      <c r="G6" s="7">
        <v>45457</v>
      </c>
      <c r="H6" t="str">
        <f t="shared" si="0"/>
        <v>005.312.093-00 45137 170,73</v>
      </c>
      <c r="I6" t="str">
        <f>VLOOKUP(H6,'[1]4706147 (2)'!$I$2:$I$135,1,0)</f>
        <v>005.312.093-00 45137 170,73</v>
      </c>
    </row>
    <row r="7" spans="1:9" x14ac:dyDescent="0.25">
      <c r="A7">
        <v>7</v>
      </c>
      <c r="B7" s="4" t="s">
        <v>205</v>
      </c>
      <c r="C7" s="16" t="s">
        <v>11</v>
      </c>
      <c r="D7" s="20">
        <v>57190</v>
      </c>
      <c r="E7" s="18">
        <v>45412</v>
      </c>
      <c r="F7" s="5">
        <v>329.32</v>
      </c>
      <c r="G7" s="7">
        <v>45488</v>
      </c>
      <c r="H7" t="str">
        <f t="shared" ref="H7:H38" si="1">_xlfn.CONCAT(C7," ",E7," ",F7)</f>
        <v>006.751.373-57 45412 329,32</v>
      </c>
      <c r="I7" t="s">
        <v>121</v>
      </c>
    </row>
    <row r="8" spans="1:9" x14ac:dyDescent="0.25">
      <c r="A8">
        <v>8</v>
      </c>
      <c r="B8" s="4" t="s">
        <v>205</v>
      </c>
      <c r="C8" s="16" t="s">
        <v>12</v>
      </c>
      <c r="D8" s="20">
        <v>65839</v>
      </c>
      <c r="E8" s="18">
        <v>45280</v>
      </c>
      <c r="F8" s="5">
        <v>448.28</v>
      </c>
      <c r="G8" s="7">
        <v>45323</v>
      </c>
      <c r="H8" t="str">
        <f t="shared" si="1"/>
        <v>007.773.473-42 45280 448,28</v>
      </c>
      <c r="I8" t="str">
        <f>VLOOKUP(H8,'[1]4706147 (2)'!$I$2:$I$135,1,0)</f>
        <v>007.773.473-42 45280 448,28</v>
      </c>
    </row>
    <row r="9" spans="1:9" x14ac:dyDescent="0.25">
      <c r="A9">
        <v>9</v>
      </c>
      <c r="B9" s="4" t="s">
        <v>205</v>
      </c>
      <c r="C9" s="16" t="s">
        <v>13</v>
      </c>
      <c r="D9" s="20">
        <v>59730</v>
      </c>
      <c r="E9" s="18">
        <v>45290</v>
      </c>
      <c r="F9" s="5">
        <v>274.97000000000003</v>
      </c>
      <c r="G9" s="7">
        <v>45323</v>
      </c>
      <c r="H9" t="str">
        <f t="shared" si="1"/>
        <v>008.580.223-97 45290 274,97</v>
      </c>
      <c r="I9" t="s">
        <v>121</v>
      </c>
    </row>
    <row r="10" spans="1:9" x14ac:dyDescent="0.25">
      <c r="A10">
        <v>10</v>
      </c>
      <c r="B10" s="4" t="s">
        <v>205</v>
      </c>
      <c r="C10" s="16" t="s">
        <v>14</v>
      </c>
      <c r="D10" s="20">
        <v>66758</v>
      </c>
      <c r="E10" s="18">
        <v>44581</v>
      </c>
      <c r="F10" s="5">
        <v>171.96</v>
      </c>
      <c r="G10" s="7">
        <v>44701</v>
      </c>
      <c r="H10" t="str">
        <f t="shared" si="1"/>
        <v>008.896.003-09 44581 171,96</v>
      </c>
      <c r="I10" t="str">
        <f>VLOOKUP(H10,'[1]4706147 (2)'!$I$2:$I$135,1,0)</f>
        <v>008.896.003-09 44581 171,96</v>
      </c>
    </row>
    <row r="11" spans="1:9" x14ac:dyDescent="0.25">
      <c r="A11">
        <v>11</v>
      </c>
      <c r="B11" s="4" t="s">
        <v>205</v>
      </c>
      <c r="C11" s="16" t="s">
        <v>15</v>
      </c>
      <c r="D11" s="20">
        <v>58663</v>
      </c>
      <c r="E11" s="18">
        <v>45240</v>
      </c>
      <c r="F11" s="5">
        <v>242.18</v>
      </c>
      <c r="G11" s="7">
        <v>45260</v>
      </c>
      <c r="H11" t="str">
        <f t="shared" si="1"/>
        <v>010.657.683-62 45240 242,18</v>
      </c>
      <c r="I11" t="str">
        <f>VLOOKUP(H11,'[1]4706147 (2)'!$I$2:$I$135,1,0)</f>
        <v>010.657.683-62 45240 242,18</v>
      </c>
    </row>
    <row r="12" spans="1:9" x14ac:dyDescent="0.25">
      <c r="A12">
        <v>12</v>
      </c>
      <c r="B12" s="4" t="s">
        <v>205</v>
      </c>
      <c r="C12" s="16" t="s">
        <v>16</v>
      </c>
      <c r="D12" s="20">
        <v>59021</v>
      </c>
      <c r="E12" s="18">
        <v>45301</v>
      </c>
      <c r="F12" s="5">
        <v>219.98</v>
      </c>
      <c r="G12" s="7">
        <v>45323</v>
      </c>
      <c r="H12" t="str">
        <f t="shared" si="1"/>
        <v>011.520.043-60 45301 219,98</v>
      </c>
      <c r="I12" t="str">
        <f>VLOOKUP(H12,'[1]4706147 (2)'!$I$2:$I$135,1,0)</f>
        <v>011.520.043-60 45301 219,98</v>
      </c>
    </row>
    <row r="13" spans="1:9" x14ac:dyDescent="0.25">
      <c r="A13">
        <v>13</v>
      </c>
      <c r="B13" s="4" t="s">
        <v>205</v>
      </c>
      <c r="C13" s="16" t="s">
        <v>16</v>
      </c>
      <c r="D13" s="20">
        <v>59020</v>
      </c>
      <c r="E13" s="18">
        <v>45301</v>
      </c>
      <c r="F13" s="5">
        <v>219.98</v>
      </c>
      <c r="G13" s="7">
        <v>45323</v>
      </c>
      <c r="H13" t="str">
        <f t="shared" si="1"/>
        <v>011.520.043-60 45301 219,98</v>
      </c>
      <c r="I13" t="str">
        <f>VLOOKUP(H13,'[1]4706147 (2)'!$I$2:$I$135,1,0)</f>
        <v>011.520.043-60 45301 219,98</v>
      </c>
    </row>
    <row r="14" spans="1:9" x14ac:dyDescent="0.25">
      <c r="A14">
        <v>14</v>
      </c>
      <c r="B14" s="4" t="s">
        <v>205</v>
      </c>
      <c r="C14" s="16" t="s">
        <v>17</v>
      </c>
      <c r="D14" s="20">
        <v>71586</v>
      </c>
      <c r="E14" s="18">
        <v>45402</v>
      </c>
      <c r="F14" s="5">
        <v>215.38</v>
      </c>
      <c r="G14" s="7">
        <v>45464</v>
      </c>
      <c r="H14" t="str">
        <f t="shared" si="1"/>
        <v>012.117.443-37 45402 215,38</v>
      </c>
      <c r="I14" t="str">
        <f>VLOOKUP(H14,'[1]4706147 (2)'!$I$2:$I$135,1,0)</f>
        <v>012.117.443-37 45402 215,38</v>
      </c>
    </row>
    <row r="15" spans="1:9" x14ac:dyDescent="0.25">
      <c r="A15">
        <v>15</v>
      </c>
      <c r="B15" s="4" t="s">
        <v>205</v>
      </c>
      <c r="C15" s="16" t="s">
        <v>18</v>
      </c>
      <c r="D15" s="20">
        <v>44638</v>
      </c>
      <c r="E15" s="18">
        <v>45332</v>
      </c>
      <c r="F15" s="5">
        <v>165.23</v>
      </c>
      <c r="G15" s="7">
        <v>45464</v>
      </c>
      <c r="H15" t="str">
        <f t="shared" si="1"/>
        <v>014.395.333-85 45332 165,23</v>
      </c>
      <c r="I15" t="s">
        <v>121</v>
      </c>
    </row>
    <row r="16" spans="1:9" x14ac:dyDescent="0.25">
      <c r="A16">
        <v>16</v>
      </c>
      <c r="B16" s="4" t="s">
        <v>205</v>
      </c>
      <c r="C16" s="16" t="s">
        <v>19</v>
      </c>
      <c r="D16" s="20">
        <v>58024</v>
      </c>
      <c r="E16" s="18">
        <v>44681</v>
      </c>
      <c r="F16" s="5">
        <v>217.16</v>
      </c>
      <c r="G16" s="7">
        <v>44792</v>
      </c>
      <c r="H16" t="str">
        <f t="shared" si="1"/>
        <v>019.649.303-08 44681 217,16</v>
      </c>
      <c r="I16" t="str">
        <f>VLOOKUP(H16,'[1]4706147 (2)'!$I$2:$I$135,1,0)</f>
        <v>019.649.303-08 44681 217,16</v>
      </c>
    </row>
    <row r="17" spans="1:9" x14ac:dyDescent="0.25">
      <c r="A17">
        <v>17</v>
      </c>
      <c r="B17" s="4" t="s">
        <v>205</v>
      </c>
      <c r="C17" s="16" t="s">
        <v>20</v>
      </c>
      <c r="D17" s="20">
        <v>53774</v>
      </c>
      <c r="E17" s="18">
        <v>44620</v>
      </c>
      <c r="F17" s="8">
        <v>1653.83</v>
      </c>
      <c r="G17" s="7">
        <v>44762</v>
      </c>
      <c r="H17" t="str">
        <f t="shared" si="1"/>
        <v>022.744.627-55 44620 1653,83</v>
      </c>
      <c r="I17" t="str">
        <f>VLOOKUP(H17,'[1]4706147 (2)'!$I$2:$I$135,1,0)</f>
        <v>022.744.627-55 44620 1653,83</v>
      </c>
    </row>
    <row r="18" spans="1:9" x14ac:dyDescent="0.25">
      <c r="A18">
        <v>18</v>
      </c>
      <c r="B18" s="4" t="s">
        <v>205</v>
      </c>
      <c r="C18" s="16" t="s">
        <v>21</v>
      </c>
      <c r="D18" s="20">
        <v>65656</v>
      </c>
      <c r="E18" s="18">
        <v>45056</v>
      </c>
      <c r="F18" s="5">
        <v>412.37</v>
      </c>
      <c r="G18" s="7">
        <v>45090</v>
      </c>
      <c r="H18" t="str">
        <f t="shared" si="1"/>
        <v>023.089.883-12 45056 412,37</v>
      </c>
      <c r="I18" t="str">
        <f>VLOOKUP(H18,'[1]4706147 (2)'!$I$2:$I$135,1,0)</f>
        <v>023.089.883-12 45056 412,37</v>
      </c>
    </row>
    <row r="19" spans="1:9" x14ac:dyDescent="0.25">
      <c r="A19">
        <v>19</v>
      </c>
      <c r="B19" s="4" t="s">
        <v>205</v>
      </c>
      <c r="C19" s="16" t="s">
        <v>22</v>
      </c>
      <c r="D19" s="20">
        <v>63959</v>
      </c>
      <c r="E19" s="18">
        <v>44336</v>
      </c>
      <c r="F19" s="5">
        <v>289.36</v>
      </c>
      <c r="G19" s="7">
        <v>44469</v>
      </c>
      <c r="H19" t="str">
        <f t="shared" si="1"/>
        <v>026.823.835-99 44336 289,36</v>
      </c>
      <c r="I19" t="str">
        <f>VLOOKUP(H19,'[1]4706147 (2)'!$I$2:$I$135,1,0)</f>
        <v>026.823.835-99 44336 289,36</v>
      </c>
    </row>
    <row r="20" spans="1:9" x14ac:dyDescent="0.25">
      <c r="A20">
        <v>20</v>
      </c>
      <c r="B20" s="4" t="s">
        <v>205</v>
      </c>
      <c r="C20" s="16" t="s">
        <v>23</v>
      </c>
      <c r="D20" s="20">
        <v>71903</v>
      </c>
      <c r="E20" s="18">
        <v>45381</v>
      </c>
      <c r="F20" s="5">
        <v>192.8</v>
      </c>
      <c r="G20" s="7">
        <v>45464</v>
      </c>
      <c r="H20" t="str">
        <f t="shared" si="1"/>
        <v>026.928.703-52 45381 192,8</v>
      </c>
      <c r="I20" t="s">
        <v>121</v>
      </c>
    </row>
    <row r="21" spans="1:9" x14ac:dyDescent="0.25">
      <c r="A21">
        <v>21</v>
      </c>
      <c r="B21" s="4" t="s">
        <v>205</v>
      </c>
      <c r="C21" s="16" t="s">
        <v>24</v>
      </c>
      <c r="D21" s="20">
        <v>48437</v>
      </c>
      <c r="E21" s="18">
        <v>44326</v>
      </c>
      <c r="F21" s="5">
        <v>274.57</v>
      </c>
      <c r="G21" s="7">
        <v>44438</v>
      </c>
      <c r="H21" t="str">
        <f t="shared" si="1"/>
        <v>027.321.753-40 44326 274,57</v>
      </c>
      <c r="I21" t="str">
        <f>VLOOKUP(H21,'[1]4706147 (2)'!$I$2:$I$135,1,0)</f>
        <v>027.321.753-40 44326 274,57</v>
      </c>
    </row>
    <row r="22" spans="1:9" x14ac:dyDescent="0.25">
      <c r="A22">
        <v>22</v>
      </c>
      <c r="B22" s="4" t="s">
        <v>205</v>
      </c>
      <c r="C22" s="16" t="s">
        <v>25</v>
      </c>
      <c r="D22" s="20">
        <v>70288</v>
      </c>
      <c r="E22" s="18">
        <v>45137</v>
      </c>
      <c r="F22" s="5">
        <v>21.34</v>
      </c>
      <c r="G22" s="7">
        <v>45254</v>
      </c>
      <c r="H22" t="str">
        <f t="shared" si="1"/>
        <v>027.771.703-55 45137 21,34</v>
      </c>
      <c r="I22" t="str">
        <f>VLOOKUP(H22,'[1]4706147 (2)'!$I$2:$I$135,1,0)</f>
        <v>027.771.703-55 45137 21,34</v>
      </c>
    </row>
    <row r="23" spans="1:9" x14ac:dyDescent="0.25">
      <c r="A23">
        <v>23</v>
      </c>
      <c r="B23" s="4" t="s">
        <v>205</v>
      </c>
      <c r="C23" s="16" t="s">
        <v>26</v>
      </c>
      <c r="D23" s="20">
        <v>69171</v>
      </c>
      <c r="E23" s="18">
        <v>44540</v>
      </c>
      <c r="F23" s="5">
        <v>234.5</v>
      </c>
      <c r="G23" s="7">
        <v>44707</v>
      </c>
      <c r="H23" t="str">
        <f t="shared" si="1"/>
        <v>028.404.121-10 44540 234,5</v>
      </c>
      <c r="I23" t="str">
        <f>VLOOKUP(H23,'[1]4706147 (2)'!$I$2:$I$135,1,0)</f>
        <v>028.404.121-10 44540 234,5</v>
      </c>
    </row>
    <row r="24" spans="1:9" x14ac:dyDescent="0.25">
      <c r="A24">
        <v>24</v>
      </c>
      <c r="B24" s="4" t="s">
        <v>205</v>
      </c>
      <c r="C24" s="16" t="s">
        <v>27</v>
      </c>
      <c r="D24" s="20">
        <v>44711</v>
      </c>
      <c r="E24" s="18">
        <v>45342</v>
      </c>
      <c r="F24" s="5">
        <v>45</v>
      </c>
      <c r="G24" s="7">
        <v>45477</v>
      </c>
      <c r="H24" t="str">
        <f t="shared" si="1"/>
        <v>030.772.123-07 45342 45</v>
      </c>
      <c r="I24" t="s">
        <v>121</v>
      </c>
    </row>
    <row r="25" spans="1:9" x14ac:dyDescent="0.25">
      <c r="A25">
        <v>25</v>
      </c>
      <c r="B25" s="4" t="s">
        <v>205</v>
      </c>
      <c r="C25" s="16" t="s">
        <v>28</v>
      </c>
      <c r="D25" s="20">
        <v>67518</v>
      </c>
      <c r="E25" s="18">
        <v>44387</v>
      </c>
      <c r="F25" s="5">
        <v>254.88</v>
      </c>
      <c r="G25" s="7">
        <v>44526</v>
      </c>
      <c r="H25" t="str">
        <f t="shared" si="1"/>
        <v>031.301.431-06 44387 254,88</v>
      </c>
      <c r="I25" t="str">
        <f>VLOOKUP(H25,'[1]4706147 (2)'!$I$2:$I$135,1,0)</f>
        <v>031.301.431-06 44387 254,88</v>
      </c>
    </row>
    <row r="26" spans="1:9" x14ac:dyDescent="0.25">
      <c r="A26">
        <v>26</v>
      </c>
      <c r="B26" s="4" t="s">
        <v>205</v>
      </c>
      <c r="C26" s="16" t="s">
        <v>29</v>
      </c>
      <c r="D26" s="20">
        <v>67010</v>
      </c>
      <c r="E26" s="18">
        <v>44591</v>
      </c>
      <c r="F26" s="5">
        <v>287.47000000000003</v>
      </c>
      <c r="G26" s="7">
        <v>44715</v>
      </c>
      <c r="H26" t="str">
        <f t="shared" si="1"/>
        <v>035.232.783-92 44591 287,47</v>
      </c>
      <c r="I26" t="str">
        <f>VLOOKUP(H26,'[1]4706147 (2)'!$I$2:$I$135,1,0)</f>
        <v>035.232.783-92 44591 287,47</v>
      </c>
    </row>
    <row r="27" spans="1:9" x14ac:dyDescent="0.25">
      <c r="A27">
        <v>27</v>
      </c>
      <c r="B27" s="4" t="s">
        <v>205</v>
      </c>
      <c r="C27" s="16" t="s">
        <v>30</v>
      </c>
      <c r="D27" s="20">
        <v>49899</v>
      </c>
      <c r="E27" s="18">
        <v>45402</v>
      </c>
      <c r="F27" s="5">
        <v>222.25</v>
      </c>
      <c r="G27" s="7">
        <v>45464</v>
      </c>
      <c r="H27" t="str">
        <f t="shared" si="1"/>
        <v>040.986.493-57 45402 222,25</v>
      </c>
      <c r="I27" t="str">
        <f>VLOOKUP(H27,'[1]4706147 (2)'!$I$2:$I$135,1,0)</f>
        <v>040.986.493-57 45402 222,25</v>
      </c>
    </row>
    <row r="28" spans="1:9" x14ac:dyDescent="0.25">
      <c r="A28">
        <v>28</v>
      </c>
      <c r="B28" s="4" t="s">
        <v>205</v>
      </c>
      <c r="C28" s="16" t="s">
        <v>30</v>
      </c>
      <c r="D28" s="20">
        <v>49899</v>
      </c>
      <c r="E28" s="18">
        <v>45371</v>
      </c>
      <c r="F28" s="5">
        <v>222.25</v>
      </c>
      <c r="G28" s="7">
        <v>45464</v>
      </c>
      <c r="H28" t="str">
        <f t="shared" si="1"/>
        <v>040.986.493-57 45371 222,25</v>
      </c>
      <c r="I28" t="str">
        <f>VLOOKUP(H28,'[1]4706147 (2)'!$I$2:$I$135,1,0)</f>
        <v>040.986.493-57 45371 222,25</v>
      </c>
    </row>
    <row r="29" spans="1:9" x14ac:dyDescent="0.25">
      <c r="A29">
        <v>29</v>
      </c>
      <c r="B29" s="4" t="s">
        <v>205</v>
      </c>
      <c r="C29" s="16" t="s">
        <v>31</v>
      </c>
      <c r="D29" s="20">
        <v>63415</v>
      </c>
      <c r="E29" s="18">
        <v>45280</v>
      </c>
      <c r="F29" s="5">
        <v>306.83999999999997</v>
      </c>
      <c r="G29" s="7">
        <v>45323</v>
      </c>
      <c r="H29" t="str">
        <f t="shared" si="1"/>
        <v>041.040.453-57 45280 306,84</v>
      </c>
      <c r="I29" t="str">
        <f>VLOOKUP(H29,'[1]4706147 (2)'!$I$2:$I$135,1,0)</f>
        <v>041.040.453-57 45280 306,84</v>
      </c>
    </row>
    <row r="30" spans="1:9" x14ac:dyDescent="0.25">
      <c r="A30">
        <v>30</v>
      </c>
      <c r="B30" s="4" t="s">
        <v>205</v>
      </c>
      <c r="C30" s="16" t="s">
        <v>32</v>
      </c>
      <c r="D30" s="20">
        <v>63822</v>
      </c>
      <c r="E30" s="18">
        <v>44691</v>
      </c>
      <c r="F30" s="5">
        <v>822.58</v>
      </c>
      <c r="G30" s="7">
        <v>44764</v>
      </c>
      <c r="H30" t="str">
        <f t="shared" si="1"/>
        <v>041.301.303-07 44691 822,58</v>
      </c>
      <c r="I30" t="str">
        <f>VLOOKUP(H30,'[1]4706147 (2)'!$I$2:$I$135,1,0)</f>
        <v>041.301.303-07 44691 822,58</v>
      </c>
    </row>
    <row r="31" spans="1:9" x14ac:dyDescent="0.25">
      <c r="A31">
        <v>31</v>
      </c>
      <c r="B31" s="4" t="s">
        <v>205</v>
      </c>
      <c r="C31" s="16" t="s">
        <v>33</v>
      </c>
      <c r="D31" s="20">
        <v>68107</v>
      </c>
      <c r="E31" s="18">
        <v>44550</v>
      </c>
      <c r="F31" s="5">
        <v>58.8</v>
      </c>
      <c r="G31" s="7">
        <v>44644</v>
      </c>
      <c r="H31" t="str">
        <f t="shared" si="1"/>
        <v>043.148.263-20 44550 58,8</v>
      </c>
      <c r="I31" t="str">
        <f>VLOOKUP(H31,'[1]4706147 (2)'!$I$2:$I$135,1,0)</f>
        <v>043.148.263-20 44550 58,8</v>
      </c>
    </row>
    <row r="32" spans="1:9" x14ac:dyDescent="0.25">
      <c r="A32">
        <v>32</v>
      </c>
      <c r="B32" s="4" t="s">
        <v>205</v>
      </c>
      <c r="C32" s="16" t="s">
        <v>34</v>
      </c>
      <c r="D32" s="20">
        <v>65906</v>
      </c>
      <c r="E32" s="18">
        <v>45361</v>
      </c>
      <c r="F32" s="5">
        <v>228.79</v>
      </c>
      <c r="G32" s="7">
        <v>45464</v>
      </c>
      <c r="H32" t="str">
        <f t="shared" si="1"/>
        <v>047.029.963-04 45361 228,79</v>
      </c>
      <c r="I32" t="str">
        <f>VLOOKUP(H32,'[1]4706147 (2)'!$I$2:$I$135,1,0)</f>
        <v>047.029.963-04 45361 228,79</v>
      </c>
    </row>
    <row r="33" spans="1:9" x14ac:dyDescent="0.25">
      <c r="A33">
        <v>33</v>
      </c>
      <c r="B33" s="4" t="s">
        <v>205</v>
      </c>
      <c r="C33" s="16" t="s">
        <v>34</v>
      </c>
      <c r="D33" s="20">
        <v>65906</v>
      </c>
      <c r="E33" s="18">
        <v>45332</v>
      </c>
      <c r="F33" s="5">
        <v>228.79</v>
      </c>
      <c r="G33" s="7">
        <v>45464</v>
      </c>
      <c r="H33" t="str">
        <f t="shared" si="1"/>
        <v>047.029.963-04 45332 228,79</v>
      </c>
      <c r="I33" t="str">
        <f>VLOOKUP(H33,'[1]4706147 (2)'!$I$2:$I$135,1,0)</f>
        <v>047.029.963-04 45332 228,79</v>
      </c>
    </row>
    <row r="34" spans="1:9" x14ac:dyDescent="0.25">
      <c r="A34">
        <v>34</v>
      </c>
      <c r="B34" s="4" t="s">
        <v>205</v>
      </c>
      <c r="C34" s="16" t="s">
        <v>34</v>
      </c>
      <c r="D34" s="20">
        <v>65906</v>
      </c>
      <c r="E34" s="18">
        <v>45392</v>
      </c>
      <c r="F34" s="5">
        <v>228.79</v>
      </c>
      <c r="G34" s="7">
        <v>45464</v>
      </c>
      <c r="H34" t="str">
        <f t="shared" si="1"/>
        <v>047.029.963-04 45392 228,79</v>
      </c>
      <c r="I34" t="str">
        <f>VLOOKUP(H34,'[1]4706147 (2)'!$I$2:$I$135,1,0)</f>
        <v>047.029.963-04 45392 228,79</v>
      </c>
    </row>
    <row r="35" spans="1:9" x14ac:dyDescent="0.25">
      <c r="A35">
        <v>35</v>
      </c>
      <c r="B35" s="4" t="s">
        <v>205</v>
      </c>
      <c r="C35" s="16" t="s">
        <v>35</v>
      </c>
      <c r="D35" s="20">
        <v>68725</v>
      </c>
      <c r="E35" s="18">
        <v>44915</v>
      </c>
      <c r="F35" s="5">
        <v>219.92</v>
      </c>
      <c r="G35" s="7">
        <v>45027</v>
      </c>
      <c r="H35" t="str">
        <f t="shared" si="1"/>
        <v>048.501.513-70 44915 219,92</v>
      </c>
      <c r="I35" t="str">
        <f>VLOOKUP(H35,'[1]4706147 (2)'!$I$2:$I$135,1,0)</f>
        <v>048.501.513-70 44915 219,92</v>
      </c>
    </row>
    <row r="36" spans="1:9" x14ac:dyDescent="0.25">
      <c r="A36">
        <v>36</v>
      </c>
      <c r="B36" s="4" t="s">
        <v>205</v>
      </c>
      <c r="C36" s="16" t="s">
        <v>36</v>
      </c>
      <c r="D36" s="20">
        <v>69282</v>
      </c>
      <c r="E36" s="18">
        <v>45432</v>
      </c>
      <c r="F36" s="8">
        <v>1139.81</v>
      </c>
      <c r="G36" s="7">
        <v>45545</v>
      </c>
      <c r="H36" t="str">
        <f t="shared" si="1"/>
        <v>049.139.133-10 45432 1139,81</v>
      </c>
      <c r="I36" t="s">
        <v>121</v>
      </c>
    </row>
    <row r="37" spans="1:9" x14ac:dyDescent="0.25">
      <c r="A37">
        <v>37</v>
      </c>
      <c r="B37" s="4" t="s">
        <v>205</v>
      </c>
      <c r="C37" s="16" t="s">
        <v>37</v>
      </c>
      <c r="D37" s="20">
        <v>72681</v>
      </c>
      <c r="E37" s="18">
        <v>45311</v>
      </c>
      <c r="F37" s="5">
        <v>251.83</v>
      </c>
      <c r="G37" s="7">
        <v>45463</v>
      </c>
      <c r="H37" t="str">
        <f t="shared" si="1"/>
        <v>050.020.123-45 45311 251,83</v>
      </c>
      <c r="I37" t="str">
        <f>VLOOKUP(H37,'[1]4706147 (2)'!$I$2:$I$135,1,0)</f>
        <v>050.020.123-45 45311 251,83</v>
      </c>
    </row>
    <row r="38" spans="1:9" x14ac:dyDescent="0.25">
      <c r="A38">
        <v>38</v>
      </c>
      <c r="B38" s="4" t="s">
        <v>205</v>
      </c>
      <c r="C38" s="16" t="s">
        <v>38</v>
      </c>
      <c r="D38" s="20">
        <v>67453</v>
      </c>
      <c r="E38" s="18">
        <v>44691</v>
      </c>
      <c r="F38" s="5">
        <v>154.76</v>
      </c>
      <c r="G38" s="7">
        <v>44791</v>
      </c>
      <c r="H38" t="str">
        <f t="shared" si="1"/>
        <v>050.127.361-17 44691 154,76</v>
      </c>
      <c r="I38" t="str">
        <f>VLOOKUP(H38,'[1]4706147 (2)'!$I$2:$I$135,1,0)</f>
        <v>050.127.361-17 44691 154,76</v>
      </c>
    </row>
    <row r="39" spans="1:9" x14ac:dyDescent="0.25">
      <c r="A39">
        <v>39</v>
      </c>
      <c r="B39" s="4" t="s">
        <v>205</v>
      </c>
      <c r="C39" s="16" t="s">
        <v>38</v>
      </c>
      <c r="D39" s="20">
        <v>67453</v>
      </c>
      <c r="E39" s="18">
        <v>44722</v>
      </c>
      <c r="F39" s="5">
        <v>202.74</v>
      </c>
      <c r="G39" s="7">
        <v>44791</v>
      </c>
      <c r="H39" t="str">
        <f t="shared" ref="H39:H70" si="2">_xlfn.CONCAT(C39," ",E39," ",F39)</f>
        <v>050.127.361-17 44722 202,74</v>
      </c>
      <c r="I39" t="str">
        <f>VLOOKUP(H39,'[1]4706147 (2)'!$I$2:$I$135,1,0)</f>
        <v>050.127.361-17 44722 202,74</v>
      </c>
    </row>
    <row r="40" spans="1:9" x14ac:dyDescent="0.25">
      <c r="A40">
        <v>40</v>
      </c>
      <c r="B40" s="4" t="s">
        <v>205</v>
      </c>
      <c r="C40" s="16" t="s">
        <v>39</v>
      </c>
      <c r="D40" s="20">
        <v>67875</v>
      </c>
      <c r="E40" s="18">
        <v>45270</v>
      </c>
      <c r="F40" s="8">
        <v>1129.23</v>
      </c>
      <c r="G40" s="7">
        <v>45322</v>
      </c>
      <c r="H40" t="str">
        <f t="shared" si="2"/>
        <v>050.419.272-86 45270 1129,23</v>
      </c>
      <c r="I40" t="str">
        <f>VLOOKUP(H40,'[1]4706147 (2)'!$I$2:$I$135,1,0)</f>
        <v>050.419.272-86 45270 1129,23</v>
      </c>
    </row>
    <row r="41" spans="1:9" s="13" customFormat="1" x14ac:dyDescent="0.25">
      <c r="A41">
        <v>41</v>
      </c>
      <c r="B41" s="9" t="s">
        <v>205</v>
      </c>
      <c r="C41" s="16" t="s">
        <v>40</v>
      </c>
      <c r="D41" s="20">
        <v>70054</v>
      </c>
      <c r="E41" s="18">
        <v>45168</v>
      </c>
      <c r="F41" s="10">
        <v>18.82</v>
      </c>
      <c r="G41" s="12">
        <v>45457</v>
      </c>
      <c r="H41" t="str">
        <f t="shared" si="2"/>
        <v>051.558.013-97 45168 18,82</v>
      </c>
      <c r="I41" t="str">
        <f>VLOOKUP(H41,'[1]4706147 (2)'!$I$2:$I$135,1,0)</f>
        <v>051.558.013-97 45168 18,82</v>
      </c>
    </row>
    <row r="42" spans="1:9" x14ac:dyDescent="0.25">
      <c r="A42">
        <v>42</v>
      </c>
      <c r="B42" s="4" t="s">
        <v>205</v>
      </c>
      <c r="C42" s="16" t="s">
        <v>41</v>
      </c>
      <c r="D42" s="20">
        <v>69606</v>
      </c>
      <c r="E42" s="18">
        <v>45371</v>
      </c>
      <c r="F42" s="5">
        <v>225.75</v>
      </c>
      <c r="G42" s="7">
        <v>45464</v>
      </c>
      <c r="H42" t="str">
        <f t="shared" si="2"/>
        <v>051.653.023-26 45371 225,75</v>
      </c>
      <c r="I42" t="s">
        <v>121</v>
      </c>
    </row>
    <row r="43" spans="1:9" x14ac:dyDescent="0.25">
      <c r="A43">
        <v>43</v>
      </c>
      <c r="B43" s="4" t="s">
        <v>205</v>
      </c>
      <c r="C43" s="16" t="s">
        <v>41</v>
      </c>
      <c r="D43" s="20">
        <v>69606</v>
      </c>
      <c r="E43" s="18">
        <v>45402</v>
      </c>
      <c r="F43" s="5">
        <v>72</v>
      </c>
      <c r="G43" s="7">
        <v>45464</v>
      </c>
      <c r="H43" t="str">
        <f t="shared" si="2"/>
        <v>051.653.023-26 45402 72</v>
      </c>
      <c r="I43" t="s">
        <v>121</v>
      </c>
    </row>
    <row r="44" spans="1:9" x14ac:dyDescent="0.25">
      <c r="A44">
        <v>44</v>
      </c>
      <c r="B44" s="4" t="s">
        <v>205</v>
      </c>
      <c r="C44" s="16" t="s">
        <v>42</v>
      </c>
      <c r="D44" s="20">
        <v>15072022</v>
      </c>
      <c r="E44" s="18">
        <v>45127</v>
      </c>
      <c r="F44" s="5">
        <v>66.599999999999994</v>
      </c>
      <c r="G44" s="7">
        <v>45462</v>
      </c>
      <c r="H44" t="str">
        <f t="shared" si="2"/>
        <v>051.801.723-06 45127 66,6</v>
      </c>
      <c r="I44" t="str">
        <f>VLOOKUP(H44,'[1]4706147 (2)'!$I$2:$I$135,1,0)</f>
        <v>051.801.723-06 45127 66,6</v>
      </c>
    </row>
    <row r="45" spans="1:9" x14ac:dyDescent="0.25">
      <c r="A45">
        <v>45</v>
      </c>
      <c r="B45" s="4" t="s">
        <v>205</v>
      </c>
      <c r="C45" s="16" t="s">
        <v>43</v>
      </c>
      <c r="D45" s="20">
        <v>70930</v>
      </c>
      <c r="E45" s="18">
        <v>44742</v>
      </c>
      <c r="F45" s="5">
        <v>196.24</v>
      </c>
      <c r="G45" s="7">
        <v>44949</v>
      </c>
      <c r="H45" t="str">
        <f t="shared" si="2"/>
        <v>051.821.053-71 44742 196,24</v>
      </c>
      <c r="I45" t="str">
        <f>VLOOKUP(H45,'[1]4706147 (2)'!$I$2:$I$135,1,0)</f>
        <v>051.821.053-71 44742 196,24</v>
      </c>
    </row>
    <row r="46" spans="1:9" x14ac:dyDescent="0.25">
      <c r="A46">
        <v>46</v>
      </c>
      <c r="B46" s="4" t="s">
        <v>205</v>
      </c>
      <c r="C46" s="16" t="s">
        <v>43</v>
      </c>
      <c r="D46" s="20">
        <v>70930</v>
      </c>
      <c r="E46" s="18">
        <v>44772</v>
      </c>
      <c r="F46" s="5">
        <v>196.24</v>
      </c>
      <c r="G46" s="7">
        <v>44949</v>
      </c>
      <c r="H46" t="str">
        <f t="shared" si="2"/>
        <v>051.821.053-71 44772 196,24</v>
      </c>
      <c r="I46" t="str">
        <f>VLOOKUP(H46,'[1]4706147 (2)'!$I$2:$I$135,1,0)</f>
        <v>051.821.053-71 44772 196,24</v>
      </c>
    </row>
    <row r="47" spans="1:9" x14ac:dyDescent="0.25">
      <c r="A47">
        <v>47</v>
      </c>
      <c r="B47" s="4" t="s">
        <v>205</v>
      </c>
      <c r="C47" s="16" t="s">
        <v>44</v>
      </c>
      <c r="D47" s="20">
        <v>66902</v>
      </c>
      <c r="E47" s="18">
        <v>45422</v>
      </c>
      <c r="F47" s="5">
        <v>296.17</v>
      </c>
      <c r="G47" s="7">
        <v>45488</v>
      </c>
      <c r="H47" t="str">
        <f t="shared" si="2"/>
        <v>052.250.143-56 45422 296,17</v>
      </c>
      <c r="I47" t="s">
        <v>121</v>
      </c>
    </row>
    <row r="48" spans="1:9" x14ac:dyDescent="0.25">
      <c r="A48">
        <v>48</v>
      </c>
      <c r="B48" s="4" t="s">
        <v>205</v>
      </c>
      <c r="C48" s="16" t="s">
        <v>45</v>
      </c>
      <c r="D48" s="20">
        <v>66614</v>
      </c>
      <c r="E48" s="18">
        <v>45402</v>
      </c>
      <c r="F48" s="5">
        <v>338.95</v>
      </c>
      <c r="G48" s="7">
        <v>45464</v>
      </c>
      <c r="H48" t="str">
        <f t="shared" si="2"/>
        <v>054.032.173-71 45402 338,95</v>
      </c>
      <c r="I48" t="str">
        <f>VLOOKUP(H48,'[1]4706147 (2)'!$I$2:$I$135,1,0)</f>
        <v>054.032.173-71 45402 338,95</v>
      </c>
    </row>
    <row r="49" spans="1:9" x14ac:dyDescent="0.25">
      <c r="A49">
        <v>49</v>
      </c>
      <c r="B49" s="4" t="s">
        <v>205</v>
      </c>
      <c r="C49" s="16" t="s">
        <v>46</v>
      </c>
      <c r="D49" s="20">
        <v>68549</v>
      </c>
      <c r="E49" s="18">
        <v>44571</v>
      </c>
      <c r="F49" s="5">
        <v>390</v>
      </c>
      <c r="G49" s="7">
        <v>44991</v>
      </c>
      <c r="H49" t="str">
        <f t="shared" si="2"/>
        <v>054.525.933-90 44571 390</v>
      </c>
      <c r="I49" t="s">
        <v>121</v>
      </c>
    </row>
    <row r="50" spans="1:9" x14ac:dyDescent="0.25">
      <c r="A50">
        <v>50</v>
      </c>
      <c r="B50" s="4" t="s">
        <v>205</v>
      </c>
      <c r="C50" s="16" t="s">
        <v>47</v>
      </c>
      <c r="D50" s="20">
        <v>26425</v>
      </c>
      <c r="E50" s="18">
        <v>45402</v>
      </c>
      <c r="F50" s="8">
        <v>1511.11</v>
      </c>
      <c r="G50" s="7">
        <v>45463</v>
      </c>
      <c r="H50" t="str">
        <f t="shared" si="2"/>
        <v>055.772.253-53 45402 1511,11</v>
      </c>
      <c r="I50" t="str">
        <f>VLOOKUP(H50,'[1]4706147 (2)'!$I$2:$I$135,1,0)</f>
        <v>055.772.253-53 45402 1511,11</v>
      </c>
    </row>
    <row r="51" spans="1:9" x14ac:dyDescent="0.25">
      <c r="A51">
        <v>51</v>
      </c>
      <c r="B51" s="4" t="s">
        <v>205</v>
      </c>
      <c r="C51" s="16" t="s">
        <v>48</v>
      </c>
      <c r="D51" s="20">
        <v>71712</v>
      </c>
      <c r="E51" s="18">
        <v>45392</v>
      </c>
      <c r="F51" s="5">
        <v>198.92</v>
      </c>
      <c r="G51" s="7">
        <v>45464</v>
      </c>
      <c r="H51" t="str">
        <f t="shared" si="2"/>
        <v>056.828.663-47 45392 198,92</v>
      </c>
      <c r="I51" t="s">
        <v>121</v>
      </c>
    </row>
    <row r="52" spans="1:9" x14ac:dyDescent="0.25">
      <c r="A52">
        <v>52</v>
      </c>
      <c r="B52" s="4" t="s">
        <v>205</v>
      </c>
      <c r="C52" s="16" t="s">
        <v>49</v>
      </c>
      <c r="D52" s="20">
        <v>69711</v>
      </c>
      <c r="E52" s="18">
        <v>44925</v>
      </c>
      <c r="F52" s="5">
        <v>308.55</v>
      </c>
      <c r="G52" s="7">
        <v>45028</v>
      </c>
      <c r="H52" t="str">
        <f t="shared" si="2"/>
        <v>057.161.593-70 44925 308,55</v>
      </c>
      <c r="I52" t="str">
        <f>VLOOKUP(H52,'[1]4706147 (2)'!$I$2:$I$135,1,0)</f>
        <v>057.161.593-70 44925 308,55</v>
      </c>
    </row>
    <row r="53" spans="1:9" x14ac:dyDescent="0.25">
      <c r="A53">
        <v>53</v>
      </c>
      <c r="B53" s="4" t="s">
        <v>205</v>
      </c>
      <c r="C53" s="16" t="s">
        <v>50</v>
      </c>
      <c r="D53" s="20">
        <v>51560</v>
      </c>
      <c r="E53" s="18">
        <v>45250</v>
      </c>
      <c r="F53" s="5">
        <v>578.54999999999995</v>
      </c>
      <c r="G53" s="7">
        <v>45322</v>
      </c>
      <c r="H53" t="str">
        <f t="shared" si="2"/>
        <v>057.573.023-48 45250 578,55</v>
      </c>
      <c r="I53" t="str">
        <f>VLOOKUP(H53,'[1]4706147 (2)'!$I$2:$I$135,1,0)</f>
        <v>057.573.023-48 45250 578,55</v>
      </c>
    </row>
    <row r="54" spans="1:9" x14ac:dyDescent="0.25">
      <c r="A54">
        <v>54</v>
      </c>
      <c r="B54" s="4" t="s">
        <v>205</v>
      </c>
      <c r="C54" s="16" t="s">
        <v>50</v>
      </c>
      <c r="D54" s="20">
        <v>51560</v>
      </c>
      <c r="E54" s="18">
        <v>45280</v>
      </c>
      <c r="F54" s="5">
        <v>578.54999999999995</v>
      </c>
      <c r="G54" s="7">
        <v>45322</v>
      </c>
      <c r="H54" t="str">
        <f t="shared" si="2"/>
        <v>057.573.023-48 45280 578,55</v>
      </c>
      <c r="I54" t="str">
        <f>VLOOKUP(H54,'[1]4706147 (2)'!$I$2:$I$135,1,0)</f>
        <v>057.573.023-48 45280 578,55</v>
      </c>
    </row>
    <row r="55" spans="1:9" x14ac:dyDescent="0.25">
      <c r="A55">
        <v>55</v>
      </c>
      <c r="B55" s="4" t="s">
        <v>205</v>
      </c>
      <c r="C55" s="16" t="s">
        <v>51</v>
      </c>
      <c r="D55" s="20">
        <v>69288</v>
      </c>
      <c r="E55" s="18">
        <v>44748</v>
      </c>
      <c r="F55" s="5">
        <v>176.8</v>
      </c>
      <c r="G55" s="7">
        <v>45457</v>
      </c>
      <c r="H55" t="str">
        <f t="shared" si="2"/>
        <v>058.468.513-04 44748 176,8</v>
      </c>
      <c r="I55" t="str">
        <f>VLOOKUP(H55,'[1]4706147 (2)'!$I$2:$I$135,1,0)</f>
        <v>058.468.513-04 44748 176,8</v>
      </c>
    </row>
    <row r="56" spans="1:9" x14ac:dyDescent="0.25">
      <c r="A56">
        <v>56</v>
      </c>
      <c r="B56" s="4" t="s">
        <v>205</v>
      </c>
      <c r="C56" s="16" t="s">
        <v>52</v>
      </c>
      <c r="D56" s="20">
        <v>69036</v>
      </c>
      <c r="E56" s="18">
        <v>45260</v>
      </c>
      <c r="F56" s="5">
        <v>236.4</v>
      </c>
      <c r="G56" s="7">
        <v>45323</v>
      </c>
      <c r="H56" t="str">
        <f t="shared" si="2"/>
        <v>059.005.563-10 45260 236,4</v>
      </c>
      <c r="I56" t="s">
        <v>121</v>
      </c>
    </row>
    <row r="57" spans="1:9" x14ac:dyDescent="0.25">
      <c r="A57">
        <v>57</v>
      </c>
      <c r="B57" s="4" t="s">
        <v>205</v>
      </c>
      <c r="C57" s="16" t="s">
        <v>53</v>
      </c>
      <c r="D57" s="20">
        <v>62359</v>
      </c>
      <c r="E57" s="18">
        <v>45332</v>
      </c>
      <c r="F57" s="5">
        <v>27</v>
      </c>
      <c r="G57" s="7">
        <v>45545</v>
      </c>
      <c r="H57" t="str">
        <f t="shared" si="2"/>
        <v>069.661.293-30 45332 27</v>
      </c>
      <c r="I57" t="s">
        <v>121</v>
      </c>
    </row>
    <row r="58" spans="1:9" x14ac:dyDescent="0.25">
      <c r="A58">
        <v>58</v>
      </c>
      <c r="B58" s="4" t="s">
        <v>205</v>
      </c>
      <c r="C58" s="16" t="s">
        <v>54</v>
      </c>
      <c r="D58" s="20">
        <v>71867</v>
      </c>
      <c r="E58" s="18">
        <v>45402</v>
      </c>
      <c r="F58" s="5">
        <v>260.27</v>
      </c>
      <c r="G58" s="7">
        <v>45467</v>
      </c>
      <c r="H58" t="str">
        <f t="shared" si="2"/>
        <v>072.722.313-51 45402 260,27</v>
      </c>
      <c r="I58" t="str">
        <f>VLOOKUP(H58,'[1]4706147 (2)'!$I$2:$I$135,1,0)</f>
        <v>072.722.313-51 45402 260,27</v>
      </c>
    </row>
    <row r="59" spans="1:9" x14ac:dyDescent="0.25">
      <c r="A59">
        <v>59</v>
      </c>
      <c r="B59" s="4" t="s">
        <v>205</v>
      </c>
      <c r="C59" s="16" t="s">
        <v>55</v>
      </c>
      <c r="D59" s="20">
        <v>68965</v>
      </c>
      <c r="E59" s="18">
        <v>45168</v>
      </c>
      <c r="F59" s="5">
        <v>659.67</v>
      </c>
      <c r="G59" s="7">
        <v>45253</v>
      </c>
      <c r="H59" t="str">
        <f t="shared" si="2"/>
        <v>075.966.467-60 45168 659,67</v>
      </c>
      <c r="I59" t="s">
        <v>121</v>
      </c>
    </row>
    <row r="60" spans="1:9" x14ac:dyDescent="0.25">
      <c r="A60">
        <v>60</v>
      </c>
      <c r="B60" s="4" t="s">
        <v>205</v>
      </c>
      <c r="C60" s="16" t="s">
        <v>56</v>
      </c>
      <c r="D60" s="20">
        <v>71204</v>
      </c>
      <c r="E60" s="18">
        <v>45280</v>
      </c>
      <c r="F60" s="8">
        <v>1423.88</v>
      </c>
      <c r="G60" s="7">
        <v>45323</v>
      </c>
      <c r="H60" t="str">
        <f t="shared" si="2"/>
        <v>110.774.093-20 45280 1423,88</v>
      </c>
      <c r="I60" t="str">
        <f>VLOOKUP(H60,'[1]4706147 (2)'!$I$2:$I$135,1,0)</f>
        <v>110.774.093-20 45280 1423,88</v>
      </c>
    </row>
    <row r="61" spans="1:9" x14ac:dyDescent="0.25">
      <c r="A61">
        <v>61</v>
      </c>
      <c r="B61" s="4" t="s">
        <v>205</v>
      </c>
      <c r="C61" s="16" t="s">
        <v>57</v>
      </c>
      <c r="D61" s="20">
        <v>52808</v>
      </c>
      <c r="E61" s="18">
        <v>44530</v>
      </c>
      <c r="F61" s="5">
        <v>51.45</v>
      </c>
      <c r="G61" s="7">
        <v>44558</v>
      </c>
      <c r="H61" t="str">
        <f t="shared" si="2"/>
        <v>250.265.773-34 44530 51,45</v>
      </c>
      <c r="I61" t="str">
        <f>VLOOKUP(H61,'[1]4706147 (2)'!$I$2:$I$135,1,0)</f>
        <v>250.265.773-34 44530 51,45</v>
      </c>
    </row>
    <row r="62" spans="1:9" x14ac:dyDescent="0.25">
      <c r="A62">
        <v>62</v>
      </c>
      <c r="B62" s="4" t="s">
        <v>205</v>
      </c>
      <c r="C62" s="16" t="s">
        <v>58</v>
      </c>
      <c r="D62" s="20">
        <v>71268</v>
      </c>
      <c r="E62" s="18">
        <v>45402</v>
      </c>
      <c r="F62" s="5">
        <v>767.32</v>
      </c>
      <c r="G62" s="7">
        <v>45476</v>
      </c>
      <c r="H62" t="str">
        <f t="shared" si="2"/>
        <v>255.359.943-91 45402 767,32</v>
      </c>
      <c r="I62" t="s">
        <v>121</v>
      </c>
    </row>
    <row r="63" spans="1:9" x14ac:dyDescent="0.25">
      <c r="A63">
        <v>63</v>
      </c>
      <c r="B63" s="4" t="s">
        <v>205</v>
      </c>
      <c r="C63" s="16" t="s">
        <v>59</v>
      </c>
      <c r="D63" s="20">
        <v>11131</v>
      </c>
      <c r="E63" s="18">
        <v>45407</v>
      </c>
      <c r="F63" s="5">
        <v>270.01</v>
      </c>
      <c r="G63" s="7">
        <v>45476</v>
      </c>
      <c r="H63" t="str">
        <f t="shared" si="2"/>
        <v>270.629.703-44 45407 270,01</v>
      </c>
      <c r="I63" t="str">
        <f>VLOOKUP(H63,'[1]4706147 (2)'!$I$2:$I$135,1,0)</f>
        <v>270.629.703-44 45407 270,01</v>
      </c>
    </row>
    <row r="64" spans="1:9" x14ac:dyDescent="0.25">
      <c r="A64">
        <v>64</v>
      </c>
      <c r="B64" s="4" t="s">
        <v>205</v>
      </c>
      <c r="C64" s="16" t="s">
        <v>60</v>
      </c>
      <c r="D64" s="20">
        <v>29115</v>
      </c>
      <c r="E64" s="18">
        <v>44814</v>
      </c>
      <c r="F64" s="5">
        <v>180.68</v>
      </c>
      <c r="G64" s="7">
        <v>45160</v>
      </c>
      <c r="H64" t="str">
        <f t="shared" si="2"/>
        <v>280.768.423-87 44814 180,68</v>
      </c>
      <c r="I64" t="str">
        <f>VLOOKUP(H64,'[1]4706147 (2)'!$I$2:$I$135,1,0)</f>
        <v>280.768.423-87 44814 180,68</v>
      </c>
    </row>
    <row r="65" spans="1:9" x14ac:dyDescent="0.25">
      <c r="A65">
        <v>65</v>
      </c>
      <c r="B65" s="4" t="s">
        <v>205</v>
      </c>
      <c r="C65" s="16" t="s">
        <v>61</v>
      </c>
      <c r="D65" s="20">
        <v>24996</v>
      </c>
      <c r="E65" s="18">
        <v>45301</v>
      </c>
      <c r="F65" s="5">
        <v>788.88</v>
      </c>
      <c r="G65" s="7">
        <v>45323</v>
      </c>
      <c r="H65" t="str">
        <f t="shared" si="2"/>
        <v>291.132.963-53 45301 788,88</v>
      </c>
      <c r="I65" t="str">
        <f>VLOOKUP(H65,'[1]4706147 (2)'!$I$2:$I$135,1,0)</f>
        <v>291.132.963-53 45301 788,88</v>
      </c>
    </row>
    <row r="66" spans="1:9" x14ac:dyDescent="0.25">
      <c r="A66">
        <v>66</v>
      </c>
      <c r="B66" s="4" t="s">
        <v>205</v>
      </c>
      <c r="C66" s="16" t="s">
        <v>62</v>
      </c>
      <c r="D66" s="20">
        <v>69382</v>
      </c>
      <c r="E66" s="18">
        <v>45036</v>
      </c>
      <c r="F66" s="5">
        <v>654.16</v>
      </c>
      <c r="G66" s="7">
        <v>45160</v>
      </c>
      <c r="H66" t="str">
        <f t="shared" si="2"/>
        <v>291.158.923-87 45036 654,16</v>
      </c>
      <c r="I66" t="str">
        <f>VLOOKUP(H66,'[1]4706147 (2)'!$I$2:$I$135,1,0)</f>
        <v>291.158.923-87 45036 654,16</v>
      </c>
    </row>
    <row r="67" spans="1:9" x14ac:dyDescent="0.25">
      <c r="A67">
        <v>67</v>
      </c>
      <c r="B67" s="4" t="s">
        <v>205</v>
      </c>
      <c r="C67" s="16" t="s">
        <v>63</v>
      </c>
      <c r="D67" s="20">
        <v>61410</v>
      </c>
      <c r="E67" s="18">
        <v>45056</v>
      </c>
      <c r="F67" s="5">
        <v>274.42</v>
      </c>
      <c r="G67" s="7">
        <v>45090</v>
      </c>
      <c r="H67" t="str">
        <f t="shared" si="2"/>
        <v>299.556.613-72 45056 274,42</v>
      </c>
      <c r="I67" t="str">
        <f>VLOOKUP(H67,'[1]4706147 (2)'!$I$2:$I$135,1,0)</f>
        <v>299.556.613-72 45056 274,42</v>
      </c>
    </row>
    <row r="68" spans="1:9" x14ac:dyDescent="0.25">
      <c r="A68">
        <v>68</v>
      </c>
      <c r="B68" s="4" t="s">
        <v>205</v>
      </c>
      <c r="C68" s="16" t="s">
        <v>64</v>
      </c>
      <c r="D68" s="20">
        <v>66673</v>
      </c>
      <c r="E68" s="18">
        <v>44255</v>
      </c>
      <c r="F68" s="5">
        <v>632.32000000000005</v>
      </c>
      <c r="G68" s="7">
        <v>44467</v>
      </c>
      <c r="H68" t="str">
        <f t="shared" si="2"/>
        <v>336.228.843-04 44255 632,32</v>
      </c>
      <c r="I68" t="str">
        <f>VLOOKUP(H68,'[1]4706147 (2)'!$I$2:$I$135,1,0)</f>
        <v>336.228.843-04 44255 632,32</v>
      </c>
    </row>
    <row r="69" spans="1:9" x14ac:dyDescent="0.25">
      <c r="A69">
        <v>69</v>
      </c>
      <c r="B69" s="4" t="s">
        <v>205</v>
      </c>
      <c r="C69" s="16" t="s">
        <v>65</v>
      </c>
      <c r="D69" s="20">
        <v>67072</v>
      </c>
      <c r="E69" s="18">
        <v>44925</v>
      </c>
      <c r="F69" s="5">
        <v>483.33</v>
      </c>
      <c r="G69" s="7">
        <v>45027</v>
      </c>
      <c r="H69" t="str">
        <f t="shared" si="2"/>
        <v>345.089.373-49 44925 483,33</v>
      </c>
      <c r="I69" t="str">
        <f>VLOOKUP(H69,'[1]4706147 (2)'!$I$2:$I$135,1,0)</f>
        <v>345.089.373-49 44925 483,33</v>
      </c>
    </row>
    <row r="70" spans="1:9" x14ac:dyDescent="0.25">
      <c r="A70">
        <v>70</v>
      </c>
      <c r="B70" s="4" t="s">
        <v>205</v>
      </c>
      <c r="C70" s="16" t="s">
        <v>66</v>
      </c>
      <c r="D70" s="20">
        <v>10253</v>
      </c>
      <c r="E70" s="18">
        <v>45412</v>
      </c>
      <c r="F70" s="8">
        <v>3318.87</v>
      </c>
      <c r="G70" s="7">
        <v>45488</v>
      </c>
      <c r="H70" t="str">
        <f t="shared" si="2"/>
        <v>357.876.191-53 45412 3318,87</v>
      </c>
      <c r="I70" t="str">
        <f>VLOOKUP(H70,'[1]4706147 (2)'!$I$2:$I$135,1,0)</f>
        <v>357.876.191-53 45412 3318,87</v>
      </c>
    </row>
    <row r="71" spans="1:9" x14ac:dyDescent="0.25">
      <c r="A71">
        <v>71</v>
      </c>
      <c r="B71" s="4" t="s">
        <v>205</v>
      </c>
      <c r="C71" s="16" t="s">
        <v>67</v>
      </c>
      <c r="D71" s="20">
        <v>43005</v>
      </c>
      <c r="E71" s="18">
        <v>45412</v>
      </c>
      <c r="F71" s="5">
        <v>293.19</v>
      </c>
      <c r="G71" s="7">
        <v>45488</v>
      </c>
      <c r="H71" t="str">
        <f t="shared" ref="H71:H102" si="3">_xlfn.CONCAT(C71," ",E71," ",F71)</f>
        <v>401.881.833-53 45412 293,19</v>
      </c>
      <c r="I71" t="s">
        <v>121</v>
      </c>
    </row>
    <row r="72" spans="1:9" x14ac:dyDescent="0.25">
      <c r="A72">
        <v>72</v>
      </c>
      <c r="B72" s="4" t="s">
        <v>205</v>
      </c>
      <c r="C72" s="16" t="s">
        <v>68</v>
      </c>
      <c r="D72" s="20">
        <v>27180</v>
      </c>
      <c r="E72" s="18">
        <v>44428</v>
      </c>
      <c r="F72" s="5">
        <v>662.62</v>
      </c>
      <c r="G72" s="7">
        <v>44526</v>
      </c>
      <c r="H72" t="str">
        <f t="shared" si="3"/>
        <v>402.424.553-87 44428 662,62</v>
      </c>
      <c r="I72" t="str">
        <f>VLOOKUP(H72,'[1]4706147 (2)'!$I$2:$I$135,1,0)</f>
        <v>402.424.553-87 44428 662,62</v>
      </c>
    </row>
    <row r="73" spans="1:9" x14ac:dyDescent="0.25">
      <c r="A73">
        <v>73</v>
      </c>
      <c r="B73" s="4" t="s">
        <v>205</v>
      </c>
      <c r="C73" s="16" t="s">
        <v>69</v>
      </c>
      <c r="D73" s="20">
        <v>63252</v>
      </c>
      <c r="E73" s="18">
        <v>44956</v>
      </c>
      <c r="F73" s="5">
        <v>306.83999999999997</v>
      </c>
      <c r="G73" s="7">
        <v>45027</v>
      </c>
      <c r="H73" t="str">
        <f t="shared" si="3"/>
        <v>424.643.583-04 44956 306,84</v>
      </c>
      <c r="I73" t="str">
        <f>VLOOKUP(H73,'[1]4706147 (2)'!$I$2:$I$135,1,0)</f>
        <v>424.643.583-04 44956 306,84</v>
      </c>
    </row>
    <row r="74" spans="1:9" x14ac:dyDescent="0.25">
      <c r="A74">
        <v>74</v>
      </c>
      <c r="B74" s="4" t="s">
        <v>205</v>
      </c>
      <c r="C74" s="16" t="s">
        <v>70</v>
      </c>
      <c r="D74" s="20">
        <v>29225</v>
      </c>
      <c r="E74" s="18">
        <v>45412</v>
      </c>
      <c r="F74" s="5">
        <v>175.38</v>
      </c>
      <c r="G74" s="7">
        <v>45488</v>
      </c>
      <c r="H74" t="str">
        <f t="shared" si="3"/>
        <v>435.924.573-49 45412 175,38</v>
      </c>
      <c r="I74" t="s">
        <v>121</v>
      </c>
    </row>
    <row r="75" spans="1:9" x14ac:dyDescent="0.25">
      <c r="A75">
        <v>75</v>
      </c>
      <c r="B75" s="4" t="s">
        <v>205</v>
      </c>
      <c r="C75" s="16" t="s">
        <v>71</v>
      </c>
      <c r="D75" s="20">
        <v>14084</v>
      </c>
      <c r="E75" s="18">
        <v>45280</v>
      </c>
      <c r="F75" s="8">
        <v>3650.79</v>
      </c>
      <c r="G75" s="7">
        <v>45323</v>
      </c>
      <c r="H75" t="str">
        <f t="shared" si="3"/>
        <v>436.129.703-72 45280 3650,79</v>
      </c>
      <c r="I75" t="str">
        <f>VLOOKUP(H75,'[1]4706147 (2)'!$I$2:$I$135,1,0)</f>
        <v>436.129.703-72 45280 3650,79</v>
      </c>
    </row>
    <row r="76" spans="1:9" x14ac:dyDescent="0.25">
      <c r="A76">
        <v>76</v>
      </c>
      <c r="B76" s="4" t="s">
        <v>205</v>
      </c>
      <c r="C76" s="16" t="s">
        <v>72</v>
      </c>
      <c r="D76" s="20">
        <v>61359</v>
      </c>
      <c r="E76" s="18">
        <v>45412</v>
      </c>
      <c r="F76" s="5">
        <v>434.09</v>
      </c>
      <c r="G76" s="7">
        <v>45488</v>
      </c>
      <c r="H76" t="str">
        <f t="shared" si="3"/>
        <v>437.745.472-20 45412 434,09</v>
      </c>
      <c r="I76" t="s">
        <v>121</v>
      </c>
    </row>
    <row r="77" spans="1:9" x14ac:dyDescent="0.25">
      <c r="A77">
        <v>77</v>
      </c>
      <c r="B77" s="4" t="s">
        <v>205</v>
      </c>
      <c r="C77" s="16" t="s">
        <v>73</v>
      </c>
      <c r="D77" s="20">
        <v>69849</v>
      </c>
      <c r="E77" s="18">
        <v>45005</v>
      </c>
      <c r="F77" s="5">
        <v>497.49</v>
      </c>
      <c r="G77" s="7">
        <v>45084</v>
      </c>
      <c r="H77" t="str">
        <f t="shared" si="3"/>
        <v>467.046.983-53 45005 497,49</v>
      </c>
      <c r="I77" t="str">
        <f>VLOOKUP(H77,'[1]4706147 (2)'!$I$2:$I$135,1,0)</f>
        <v>467.046.983-53 45005 497,49</v>
      </c>
    </row>
    <row r="78" spans="1:9" x14ac:dyDescent="0.25">
      <c r="A78">
        <v>78</v>
      </c>
      <c r="B78" s="4" t="s">
        <v>205</v>
      </c>
      <c r="C78" s="16" t="s">
        <v>74</v>
      </c>
      <c r="D78" s="20">
        <v>64739</v>
      </c>
      <c r="E78" s="18">
        <v>45371</v>
      </c>
      <c r="F78" s="5">
        <v>329.88</v>
      </c>
      <c r="G78" s="7">
        <v>45464</v>
      </c>
      <c r="H78" t="str">
        <f t="shared" si="3"/>
        <v>476.220.403-04 45371 329,88</v>
      </c>
      <c r="I78" t="s">
        <v>121</v>
      </c>
    </row>
    <row r="79" spans="1:9" x14ac:dyDescent="0.25">
      <c r="A79">
        <v>79</v>
      </c>
      <c r="B79" s="4" t="s">
        <v>205</v>
      </c>
      <c r="C79" s="16" t="s">
        <v>75</v>
      </c>
      <c r="D79" s="20">
        <v>41666</v>
      </c>
      <c r="E79" s="18">
        <v>45392</v>
      </c>
      <c r="F79" s="5">
        <v>870.46</v>
      </c>
      <c r="G79" s="7">
        <v>45463</v>
      </c>
      <c r="H79" t="str">
        <f t="shared" si="3"/>
        <v>487.833.663-34 45392 870,46</v>
      </c>
      <c r="I79" t="str">
        <f>VLOOKUP(H79,'[1]4706147 (2)'!$I$2:$I$135,1,0)</f>
        <v>487.833.663-34 45392 870,46</v>
      </c>
    </row>
    <row r="80" spans="1:9" x14ac:dyDescent="0.25">
      <c r="A80">
        <v>80</v>
      </c>
      <c r="B80" s="4" t="s">
        <v>205</v>
      </c>
      <c r="C80" s="16" t="s">
        <v>76</v>
      </c>
      <c r="D80" s="20">
        <v>26579</v>
      </c>
      <c r="E80" s="18">
        <v>45245</v>
      </c>
      <c r="F80" s="5">
        <v>824.8</v>
      </c>
      <c r="G80" s="7">
        <v>45322</v>
      </c>
      <c r="H80" t="str">
        <f t="shared" si="3"/>
        <v>489.414.503-06 45245 824,8</v>
      </c>
      <c r="I80" t="str">
        <f>VLOOKUP(H80,'[1]4706147 (2)'!$I$2:$I$135,1,0)</f>
        <v>489.414.503-06 45245 824,8</v>
      </c>
    </row>
    <row r="81" spans="1:9" x14ac:dyDescent="0.25">
      <c r="A81">
        <v>81</v>
      </c>
      <c r="B81" s="4" t="s">
        <v>205</v>
      </c>
      <c r="C81" s="16" t="s">
        <v>76</v>
      </c>
      <c r="D81" s="20">
        <v>26579</v>
      </c>
      <c r="E81" s="18">
        <v>45275</v>
      </c>
      <c r="F81" s="5">
        <v>824.8</v>
      </c>
      <c r="G81" s="7">
        <v>45322</v>
      </c>
      <c r="H81" t="str">
        <f t="shared" si="3"/>
        <v>489.414.503-06 45275 824,8</v>
      </c>
      <c r="I81" t="str">
        <f>VLOOKUP(H81,'[1]4706147 (2)'!$I$2:$I$135,1,0)</f>
        <v>489.414.503-06 45275 824,8</v>
      </c>
    </row>
    <row r="82" spans="1:9" x14ac:dyDescent="0.25">
      <c r="A82">
        <v>82</v>
      </c>
      <c r="B82" s="4" t="s">
        <v>205</v>
      </c>
      <c r="C82" s="16" t="s">
        <v>77</v>
      </c>
      <c r="D82" s="20">
        <v>61103</v>
      </c>
      <c r="E82" s="18">
        <v>45402</v>
      </c>
      <c r="F82" s="5">
        <v>300.85000000000002</v>
      </c>
      <c r="G82" s="7">
        <v>45464</v>
      </c>
      <c r="H82" t="str">
        <f t="shared" si="3"/>
        <v>523.750.053-68 45402 300,85</v>
      </c>
      <c r="I82" t="str">
        <f>VLOOKUP(H82,'[1]4706147 (2)'!$I$2:$I$135,1,0)</f>
        <v>523.750.053-68 45402 300,85</v>
      </c>
    </row>
    <row r="83" spans="1:9" x14ac:dyDescent="0.25">
      <c r="A83">
        <v>83</v>
      </c>
      <c r="B83" s="4" t="s">
        <v>205</v>
      </c>
      <c r="C83" s="16" t="s">
        <v>78</v>
      </c>
      <c r="D83" s="20">
        <v>52980</v>
      </c>
      <c r="E83" s="18">
        <v>45209</v>
      </c>
      <c r="F83" s="5">
        <v>422.21</v>
      </c>
      <c r="G83" s="7">
        <v>45231</v>
      </c>
      <c r="H83" t="str">
        <f t="shared" si="3"/>
        <v>525.125.766-04 45209 422,21</v>
      </c>
      <c r="I83" t="str">
        <f>VLOOKUP(H83,'[1]4706147 (2)'!$I$2:$I$135,1,0)</f>
        <v>525.125.766-04 45209 422,21</v>
      </c>
    </row>
    <row r="84" spans="1:9" x14ac:dyDescent="0.25">
      <c r="A84">
        <v>84</v>
      </c>
      <c r="B84" s="4" t="s">
        <v>205</v>
      </c>
      <c r="C84" s="16" t="s">
        <v>79</v>
      </c>
      <c r="D84" s="20">
        <v>64232</v>
      </c>
      <c r="E84" s="18">
        <v>45412</v>
      </c>
      <c r="F84" s="5">
        <v>296.24</v>
      </c>
      <c r="G84" s="7">
        <v>45476</v>
      </c>
      <c r="H84" t="str">
        <f t="shared" si="3"/>
        <v>600.549.333-74 45412 296,24</v>
      </c>
      <c r="I84" t="str">
        <f>VLOOKUP(H84,'[1]4706147 (2)'!$I$2:$I$135,1,0)</f>
        <v>600.549.333-74 45412 296,24</v>
      </c>
    </row>
    <row r="85" spans="1:9" x14ac:dyDescent="0.25">
      <c r="A85">
        <v>85</v>
      </c>
      <c r="B85" s="4" t="s">
        <v>205</v>
      </c>
      <c r="C85" s="16" t="s">
        <v>79</v>
      </c>
      <c r="D85" s="20">
        <v>64232</v>
      </c>
      <c r="E85" s="18">
        <v>45351</v>
      </c>
      <c r="F85" s="5">
        <v>296.24</v>
      </c>
      <c r="G85" s="7">
        <v>45464</v>
      </c>
      <c r="H85" t="str">
        <f t="shared" si="3"/>
        <v>600.549.333-74 45351 296,24</v>
      </c>
      <c r="I85" t="str">
        <f>VLOOKUP(H85,'[1]4706147 (2)'!$I$2:$I$135,1,0)</f>
        <v>600.549.333-74 45351 296,24</v>
      </c>
    </row>
    <row r="86" spans="1:9" x14ac:dyDescent="0.25">
      <c r="A86">
        <v>86</v>
      </c>
      <c r="B86" s="4" t="s">
        <v>205</v>
      </c>
      <c r="C86" s="16" t="s">
        <v>79</v>
      </c>
      <c r="D86" s="20">
        <v>64232</v>
      </c>
      <c r="E86" s="18">
        <v>45381</v>
      </c>
      <c r="F86" s="5">
        <v>296.24</v>
      </c>
      <c r="G86" s="7">
        <v>45477</v>
      </c>
      <c r="H86" t="str">
        <f t="shared" si="3"/>
        <v>600.549.333-74 45381 296,24</v>
      </c>
      <c r="I86" t="str">
        <f>VLOOKUP(H86,'[1]4706147 (2)'!$I$2:$I$135,1,0)</f>
        <v>600.549.333-74 45381 296,24</v>
      </c>
    </row>
    <row r="87" spans="1:9" x14ac:dyDescent="0.25">
      <c r="A87">
        <v>87</v>
      </c>
      <c r="B87" s="4" t="s">
        <v>205</v>
      </c>
      <c r="C87" s="16" t="s">
        <v>80</v>
      </c>
      <c r="D87" s="20">
        <v>64022</v>
      </c>
      <c r="E87" s="18">
        <v>45290</v>
      </c>
      <c r="F87" s="5">
        <v>625.58000000000004</v>
      </c>
      <c r="G87" s="7">
        <v>45323</v>
      </c>
      <c r="H87" t="str">
        <f t="shared" si="3"/>
        <v>602.332.953-56 45290 625,58</v>
      </c>
      <c r="I87" t="str">
        <f>VLOOKUP(H87,'[1]4706147 (2)'!$I$2:$I$135,1,0)</f>
        <v>602.332.953-56 45290 625,58</v>
      </c>
    </row>
    <row r="88" spans="1:9" x14ac:dyDescent="0.25">
      <c r="A88">
        <v>88</v>
      </c>
      <c r="B88" s="4" t="s">
        <v>205</v>
      </c>
      <c r="C88" s="16" t="s">
        <v>81</v>
      </c>
      <c r="D88" s="20">
        <v>56024</v>
      </c>
      <c r="E88" s="18">
        <v>45015</v>
      </c>
      <c r="F88" s="5">
        <v>250.82</v>
      </c>
      <c r="G88" s="7">
        <v>45169</v>
      </c>
      <c r="H88" t="str">
        <f t="shared" si="3"/>
        <v>602.530.833-03 45015 250,82</v>
      </c>
      <c r="I88" t="str">
        <f>VLOOKUP(H88,'[1]4706147 (2)'!$I$2:$I$135,1,0)</f>
        <v>602.530.833-03 45015 250,82</v>
      </c>
    </row>
    <row r="89" spans="1:9" x14ac:dyDescent="0.25">
      <c r="A89">
        <v>89</v>
      </c>
      <c r="B89" s="4" t="s">
        <v>205</v>
      </c>
      <c r="C89" s="16" t="s">
        <v>82</v>
      </c>
      <c r="D89" s="20">
        <v>66490</v>
      </c>
      <c r="E89" s="18">
        <v>45127</v>
      </c>
      <c r="F89" s="5">
        <v>270.14999999999998</v>
      </c>
      <c r="G89" s="7">
        <v>45239</v>
      </c>
      <c r="H89" t="str">
        <f t="shared" si="3"/>
        <v>602.757.413-54 45127 270,15</v>
      </c>
      <c r="I89" t="str">
        <f>VLOOKUP(H89,'[1]4706147 (2)'!$I$2:$I$135,1,0)</f>
        <v>602.757.413-54 45127 270,15</v>
      </c>
    </row>
    <row r="90" spans="1:9" x14ac:dyDescent="0.25">
      <c r="A90">
        <v>90</v>
      </c>
      <c r="B90" s="4" t="s">
        <v>205</v>
      </c>
      <c r="C90" s="16" t="s">
        <v>82</v>
      </c>
      <c r="D90" s="20">
        <v>66490</v>
      </c>
      <c r="E90" s="18">
        <v>45097</v>
      </c>
      <c r="F90" s="5">
        <v>270.14999999999998</v>
      </c>
      <c r="G90" s="7">
        <v>45239</v>
      </c>
      <c r="H90" t="str">
        <f t="shared" si="3"/>
        <v>602.757.413-54 45097 270,15</v>
      </c>
      <c r="I90" t="str">
        <f>VLOOKUP(H90,'[1]4706147 (2)'!$I$2:$I$135,1,0)</f>
        <v>602.757.413-54 45097 270,15</v>
      </c>
    </row>
    <row r="91" spans="1:9" x14ac:dyDescent="0.25">
      <c r="A91">
        <v>91</v>
      </c>
      <c r="B91" s="4" t="s">
        <v>205</v>
      </c>
      <c r="C91" s="16" t="s">
        <v>83</v>
      </c>
      <c r="D91" s="20">
        <v>57111</v>
      </c>
      <c r="E91" s="18">
        <v>45250</v>
      </c>
      <c r="F91" s="5">
        <v>250.82</v>
      </c>
      <c r="G91" s="7">
        <v>45323</v>
      </c>
      <c r="H91" t="str">
        <f t="shared" si="3"/>
        <v>603.982.543-03 45250 250,82</v>
      </c>
      <c r="I91" t="s">
        <v>121</v>
      </c>
    </row>
    <row r="92" spans="1:9" x14ac:dyDescent="0.25">
      <c r="A92">
        <v>92</v>
      </c>
      <c r="B92" s="4" t="s">
        <v>205</v>
      </c>
      <c r="C92" s="16" t="s">
        <v>84</v>
      </c>
      <c r="D92" s="20">
        <v>69069</v>
      </c>
      <c r="E92" s="18">
        <v>45412</v>
      </c>
      <c r="F92" s="5">
        <v>296.93</v>
      </c>
      <c r="G92" s="7">
        <v>45488</v>
      </c>
      <c r="H92" t="str">
        <f t="shared" si="3"/>
        <v>604.782.733-04 45412 296,93</v>
      </c>
      <c r="I92" t="s">
        <v>121</v>
      </c>
    </row>
    <row r="93" spans="1:9" x14ac:dyDescent="0.25">
      <c r="A93">
        <v>93</v>
      </c>
      <c r="B93" s="4" t="s">
        <v>205</v>
      </c>
      <c r="C93" s="16" t="s">
        <v>85</v>
      </c>
      <c r="D93" s="20">
        <v>67982</v>
      </c>
      <c r="E93" s="18">
        <v>44449</v>
      </c>
      <c r="F93" s="5">
        <v>646.39</v>
      </c>
      <c r="G93" s="7">
        <v>44558</v>
      </c>
      <c r="H93" t="str">
        <f t="shared" si="3"/>
        <v>605.686.232-15 44449 646,39</v>
      </c>
      <c r="I93" t="str">
        <f>VLOOKUP(H93,'[1]4706147 (2)'!$I$2:$I$135,1,0)</f>
        <v>605.686.232-15 44449 646,39</v>
      </c>
    </row>
    <row r="94" spans="1:9" x14ac:dyDescent="0.25">
      <c r="A94">
        <v>94</v>
      </c>
      <c r="B94" s="4" t="s">
        <v>205</v>
      </c>
      <c r="C94" s="16" t="s">
        <v>86</v>
      </c>
      <c r="D94" s="20">
        <v>70479</v>
      </c>
      <c r="E94" s="18">
        <v>45171</v>
      </c>
      <c r="F94" s="5">
        <v>249.3</v>
      </c>
      <c r="G94" s="7">
        <v>45261</v>
      </c>
      <c r="H94" t="str">
        <f t="shared" si="3"/>
        <v>606.641.593-03 45171 249,3</v>
      </c>
      <c r="I94" t="str">
        <f>VLOOKUP(H94,'[1]4706147 (2)'!$I$2:$I$135,1,0)</f>
        <v>606.641.593-03 45171 249,3</v>
      </c>
    </row>
    <row r="95" spans="1:9" x14ac:dyDescent="0.25">
      <c r="A95">
        <v>95</v>
      </c>
      <c r="B95" s="4" t="s">
        <v>205</v>
      </c>
      <c r="C95" s="16" t="s">
        <v>87</v>
      </c>
      <c r="D95" s="20">
        <v>70168</v>
      </c>
      <c r="E95" s="18">
        <v>44793</v>
      </c>
      <c r="F95" s="5">
        <v>293.67</v>
      </c>
      <c r="G95" s="7">
        <v>44925</v>
      </c>
      <c r="H95" t="str">
        <f t="shared" si="3"/>
        <v>606.849.113-70 44793 293,67</v>
      </c>
      <c r="I95" t="str">
        <f>VLOOKUP(H95,'[1]4706147 (2)'!$I$2:$I$135,1,0)</f>
        <v>606.849.113-70 44793 293,67</v>
      </c>
    </row>
    <row r="96" spans="1:9" x14ac:dyDescent="0.25">
      <c r="A96">
        <v>96</v>
      </c>
      <c r="B96" s="4" t="s">
        <v>205</v>
      </c>
      <c r="C96" s="16" t="s">
        <v>88</v>
      </c>
      <c r="D96" s="20">
        <v>51640</v>
      </c>
      <c r="E96" s="18">
        <v>45371</v>
      </c>
      <c r="F96" s="5">
        <v>274.97000000000003</v>
      </c>
      <c r="G96" s="7">
        <v>45463</v>
      </c>
      <c r="H96" t="str">
        <f t="shared" si="3"/>
        <v>607.720.143-02 45371 274,97</v>
      </c>
      <c r="I96" t="str">
        <f>VLOOKUP(H96,'[1]4706147 (2)'!$I$2:$I$135,1,0)</f>
        <v>607.720.143-02 45371 274,97</v>
      </c>
    </row>
    <row r="97" spans="1:9" x14ac:dyDescent="0.25">
      <c r="A97">
        <v>97</v>
      </c>
      <c r="B97" s="4" t="s">
        <v>205</v>
      </c>
      <c r="C97" s="16" t="s">
        <v>88</v>
      </c>
      <c r="D97" s="20">
        <v>51640</v>
      </c>
      <c r="E97" s="18">
        <v>45402</v>
      </c>
      <c r="F97" s="5">
        <v>274.97000000000003</v>
      </c>
      <c r="G97" s="7">
        <v>45463</v>
      </c>
      <c r="H97" t="str">
        <f t="shared" si="3"/>
        <v>607.720.143-02 45402 274,97</v>
      </c>
      <c r="I97" t="str">
        <f>VLOOKUP(H97,'[1]4706147 (2)'!$I$2:$I$135,1,0)</f>
        <v>607.720.143-02 45402 274,97</v>
      </c>
    </row>
    <row r="98" spans="1:9" x14ac:dyDescent="0.25">
      <c r="A98">
        <v>98</v>
      </c>
      <c r="B98" s="4" t="s">
        <v>205</v>
      </c>
      <c r="C98" s="16" t="s">
        <v>89</v>
      </c>
      <c r="D98" s="20">
        <v>67939</v>
      </c>
      <c r="E98" s="18">
        <v>44824</v>
      </c>
      <c r="F98" s="5">
        <v>198.61</v>
      </c>
      <c r="G98" s="7">
        <v>44949</v>
      </c>
      <c r="H98" t="str">
        <f t="shared" si="3"/>
        <v>609.630.243-29 44824 198,61</v>
      </c>
      <c r="I98" t="str">
        <f>VLOOKUP(H98,'[1]4706147 (2)'!$I$2:$I$135,1,0)</f>
        <v>609.630.243-29 44824 198,61</v>
      </c>
    </row>
    <row r="99" spans="1:9" x14ac:dyDescent="0.25">
      <c r="A99">
        <v>99</v>
      </c>
      <c r="B99" s="4" t="s">
        <v>205</v>
      </c>
      <c r="C99" s="16" t="s">
        <v>90</v>
      </c>
      <c r="D99" s="20">
        <v>71164</v>
      </c>
      <c r="E99" s="18">
        <v>45280</v>
      </c>
      <c r="F99" s="5">
        <v>270.11</v>
      </c>
      <c r="G99" s="7">
        <v>45323</v>
      </c>
      <c r="H99" t="str">
        <f t="shared" si="3"/>
        <v>610.210.543-56 45280 270,11</v>
      </c>
      <c r="I99" t="str">
        <f>VLOOKUP(H99,'[1]4706147 (2)'!$I$2:$I$135,1,0)</f>
        <v>610.210.543-56 45280 270,11</v>
      </c>
    </row>
    <row r="100" spans="1:9" x14ac:dyDescent="0.25">
      <c r="A100">
        <v>100</v>
      </c>
      <c r="B100" s="4" t="s">
        <v>205</v>
      </c>
      <c r="C100" s="16" t="s">
        <v>91</v>
      </c>
      <c r="D100" s="20">
        <v>56191</v>
      </c>
      <c r="E100" s="18">
        <v>44165</v>
      </c>
      <c r="F100" s="5">
        <v>46.46</v>
      </c>
      <c r="G100" s="7">
        <v>44217</v>
      </c>
      <c r="H100" t="str">
        <f t="shared" si="3"/>
        <v>615.198.553-20 44165 46,46</v>
      </c>
      <c r="I100" t="str">
        <f>VLOOKUP(H100,'[1]4706147 (2)'!$I$2:$I$135,1,0)</f>
        <v>615.198.553-20 44165 46,46</v>
      </c>
    </row>
    <row r="101" spans="1:9" x14ac:dyDescent="0.25">
      <c r="A101">
        <v>101</v>
      </c>
      <c r="B101" s="4" t="s">
        <v>205</v>
      </c>
      <c r="C101" s="16" t="s">
        <v>92</v>
      </c>
      <c r="D101" s="20">
        <v>69878</v>
      </c>
      <c r="E101" s="18">
        <v>44915</v>
      </c>
      <c r="F101" s="5">
        <v>175.86</v>
      </c>
      <c r="G101" s="7">
        <v>45028</v>
      </c>
      <c r="H101" t="str">
        <f t="shared" si="3"/>
        <v>618.619.793-04 44915 175,86</v>
      </c>
      <c r="I101" t="str">
        <f>VLOOKUP(H101,'[1]4706147 (2)'!$I$2:$I$135,1,0)</f>
        <v>618.619.793-04 44915 175,86</v>
      </c>
    </row>
    <row r="102" spans="1:9" x14ac:dyDescent="0.25">
      <c r="A102">
        <v>102</v>
      </c>
      <c r="B102" s="4" t="s">
        <v>205</v>
      </c>
      <c r="C102" s="16" t="s">
        <v>92</v>
      </c>
      <c r="D102" s="20">
        <v>69899</v>
      </c>
      <c r="E102" s="18">
        <v>44671</v>
      </c>
      <c r="F102" s="5">
        <v>5.35</v>
      </c>
      <c r="G102" s="7">
        <v>45314</v>
      </c>
      <c r="H102" t="str">
        <f t="shared" si="3"/>
        <v>618.619.793-04 44671 5,35</v>
      </c>
      <c r="I102" t="str">
        <f>VLOOKUP(H102,'[1]4706147 (2)'!$I$2:$I$135,1,0)</f>
        <v>618.619.793-04 44671 5,35</v>
      </c>
    </row>
    <row r="103" spans="1:9" x14ac:dyDescent="0.25">
      <c r="A103">
        <v>103</v>
      </c>
      <c r="B103" s="4" t="s">
        <v>205</v>
      </c>
      <c r="C103" s="16" t="s">
        <v>93</v>
      </c>
      <c r="D103" s="20">
        <v>71787</v>
      </c>
      <c r="E103" s="18">
        <v>45402</v>
      </c>
      <c r="F103" s="5">
        <v>215.14</v>
      </c>
      <c r="G103" s="7">
        <v>45464</v>
      </c>
      <c r="H103" t="str">
        <f t="shared" ref="H103:H136" si="4">_xlfn.CONCAT(C103," ",E103," ",F103)</f>
        <v>621.096.843-05 45402 215,14</v>
      </c>
      <c r="I103" t="str">
        <f>VLOOKUP(H103,'[1]4706147 (2)'!$I$2:$I$135,1,0)</f>
        <v>621.096.843-05 45402 215,14</v>
      </c>
    </row>
    <row r="104" spans="1:9" x14ac:dyDescent="0.25">
      <c r="A104">
        <v>104</v>
      </c>
      <c r="B104" s="4" t="s">
        <v>205</v>
      </c>
      <c r="C104" s="16" t="s">
        <v>93</v>
      </c>
      <c r="D104" s="20">
        <v>71787</v>
      </c>
      <c r="E104" s="18">
        <v>45371</v>
      </c>
      <c r="F104" s="5">
        <v>215.14</v>
      </c>
      <c r="G104" s="7">
        <v>45464</v>
      </c>
      <c r="H104" t="str">
        <f t="shared" si="4"/>
        <v>621.096.843-05 45371 215,14</v>
      </c>
      <c r="I104" t="str">
        <f>VLOOKUP(H104,'[1]4706147 (2)'!$I$2:$I$135,1,0)</f>
        <v>621.096.843-05 45371 215,14</v>
      </c>
    </row>
    <row r="105" spans="1:9" x14ac:dyDescent="0.25">
      <c r="A105">
        <v>105</v>
      </c>
      <c r="B105" s="4" t="s">
        <v>205</v>
      </c>
      <c r="C105" s="16" t="s">
        <v>94</v>
      </c>
      <c r="D105" s="20">
        <v>66555</v>
      </c>
      <c r="E105" s="18">
        <v>44226</v>
      </c>
      <c r="F105" s="5">
        <v>180.68</v>
      </c>
      <c r="G105" s="7">
        <v>44700</v>
      </c>
      <c r="H105" t="str">
        <f t="shared" si="4"/>
        <v>626.258.923-66 44226 180,68</v>
      </c>
      <c r="I105" t="str">
        <f>VLOOKUP(H105,'[1]4706147 (2)'!$I$2:$I$135,1,0)</f>
        <v>626.258.923-66 44226 180,68</v>
      </c>
    </row>
    <row r="106" spans="1:9" x14ac:dyDescent="0.25">
      <c r="A106">
        <v>106</v>
      </c>
      <c r="B106" s="4" t="s">
        <v>205</v>
      </c>
      <c r="C106" s="16" t="s">
        <v>95</v>
      </c>
      <c r="D106" s="20">
        <v>68907</v>
      </c>
      <c r="E106" s="18">
        <v>44946</v>
      </c>
      <c r="F106" s="5">
        <v>256.11</v>
      </c>
      <c r="G106" s="7">
        <v>45022</v>
      </c>
      <c r="H106" t="str">
        <f t="shared" si="4"/>
        <v>632.195.063-72 44946 256,11</v>
      </c>
      <c r="I106" t="str">
        <f>VLOOKUP(H106,'[1]4706147 (2)'!$I$2:$I$135,1,0)</f>
        <v>632.195.063-72 44946 256,11</v>
      </c>
    </row>
    <row r="107" spans="1:9" x14ac:dyDescent="0.25">
      <c r="A107">
        <v>107</v>
      </c>
      <c r="B107" s="4" t="s">
        <v>205</v>
      </c>
      <c r="C107" s="16" t="s">
        <v>95</v>
      </c>
      <c r="D107" s="20">
        <v>68907</v>
      </c>
      <c r="E107" s="18">
        <v>44915</v>
      </c>
      <c r="F107" s="5">
        <v>272.91000000000003</v>
      </c>
      <c r="G107" s="7">
        <v>45022</v>
      </c>
      <c r="H107" t="str">
        <f t="shared" si="4"/>
        <v>632.195.063-72 44915 272,91</v>
      </c>
      <c r="I107" t="str">
        <f>VLOOKUP(H107,'[1]4706147 (2)'!$I$2:$I$135,1,0)</f>
        <v>632.195.063-72 44915 272,91</v>
      </c>
    </row>
    <row r="108" spans="1:9" x14ac:dyDescent="0.25">
      <c r="A108">
        <v>108</v>
      </c>
      <c r="B108" s="4" t="s">
        <v>205</v>
      </c>
      <c r="C108" s="16" t="s">
        <v>96</v>
      </c>
      <c r="D108" s="20">
        <v>67206</v>
      </c>
      <c r="E108" s="18">
        <v>44711</v>
      </c>
      <c r="F108" s="5">
        <v>628.61</v>
      </c>
      <c r="G108" s="7">
        <v>44785</v>
      </c>
      <c r="H108" t="str">
        <f t="shared" si="4"/>
        <v>642.217.843-34 44711 628,61</v>
      </c>
      <c r="I108" t="s">
        <v>121</v>
      </c>
    </row>
    <row r="109" spans="1:9" x14ac:dyDescent="0.25">
      <c r="A109">
        <v>109</v>
      </c>
      <c r="B109" s="4" t="s">
        <v>205</v>
      </c>
      <c r="C109" s="16" t="s">
        <v>97</v>
      </c>
      <c r="D109" s="20">
        <v>49318</v>
      </c>
      <c r="E109" s="18">
        <v>45301</v>
      </c>
      <c r="F109" s="5">
        <v>266.2</v>
      </c>
      <c r="G109" s="7">
        <v>45323</v>
      </c>
      <c r="H109" t="str">
        <f t="shared" si="4"/>
        <v>645.383.463-49 45301 266,2</v>
      </c>
      <c r="I109" t="str">
        <f>VLOOKUP(H109,'[1]4706147 (2)'!$I$2:$I$135,1,0)</f>
        <v>645.383.463-49 45301 266,2</v>
      </c>
    </row>
    <row r="110" spans="1:9" x14ac:dyDescent="0.25">
      <c r="A110">
        <v>110</v>
      </c>
      <c r="B110" s="4" t="s">
        <v>205</v>
      </c>
      <c r="C110" s="16" t="s">
        <v>98</v>
      </c>
      <c r="D110" s="20">
        <v>56060</v>
      </c>
      <c r="E110" s="18">
        <v>44540</v>
      </c>
      <c r="F110" s="5">
        <v>186.84</v>
      </c>
      <c r="G110" s="7">
        <v>44679</v>
      </c>
      <c r="H110" t="str">
        <f t="shared" si="4"/>
        <v>645.425.802-53 44540 186,84</v>
      </c>
      <c r="I110" t="str">
        <f>VLOOKUP(H110,'[1]4706147 (2)'!$I$2:$I$135,1,0)</f>
        <v>645.425.802-53 44540 186,84</v>
      </c>
    </row>
    <row r="111" spans="1:9" x14ac:dyDescent="0.25">
      <c r="A111">
        <v>111</v>
      </c>
      <c r="B111" s="4" t="s">
        <v>205</v>
      </c>
      <c r="C111" s="16" t="s">
        <v>99</v>
      </c>
      <c r="D111" s="20">
        <v>57563</v>
      </c>
      <c r="E111" s="18">
        <v>44397</v>
      </c>
      <c r="F111" s="5">
        <v>496.09</v>
      </c>
      <c r="G111" s="7">
        <v>44526</v>
      </c>
      <c r="H111" t="str">
        <f t="shared" si="4"/>
        <v>645.796.113-49 44397 496,09</v>
      </c>
      <c r="I111" t="str">
        <f>VLOOKUP(H111,'[1]4706147 (2)'!$I$2:$I$135,1,0)</f>
        <v>645.796.113-49 44397 496,09</v>
      </c>
    </row>
    <row r="112" spans="1:9" x14ac:dyDescent="0.25">
      <c r="A112">
        <v>112</v>
      </c>
      <c r="B112" s="4" t="s">
        <v>205</v>
      </c>
      <c r="C112" s="16" t="s">
        <v>100</v>
      </c>
      <c r="D112" s="20">
        <v>46986</v>
      </c>
      <c r="E112" s="18">
        <v>45402</v>
      </c>
      <c r="F112" s="5">
        <v>715.1</v>
      </c>
      <c r="G112" s="7">
        <v>45456</v>
      </c>
      <c r="H112" t="str">
        <f t="shared" si="4"/>
        <v>650.888.083-72 45402 715,1</v>
      </c>
      <c r="I112" t="str">
        <f>VLOOKUP(H112,'[1]4706147 (2)'!$I$2:$I$135,1,0)</f>
        <v>650.888.083-72 45402 715,1</v>
      </c>
    </row>
    <row r="113" spans="1:9" x14ac:dyDescent="0.25">
      <c r="A113">
        <v>113</v>
      </c>
      <c r="B113" s="4" t="s">
        <v>205</v>
      </c>
      <c r="C113" s="16" t="s">
        <v>101</v>
      </c>
      <c r="D113" s="20">
        <v>31287</v>
      </c>
      <c r="E113" s="18">
        <v>44428</v>
      </c>
      <c r="F113" s="5">
        <v>39.630000000000003</v>
      </c>
      <c r="G113" s="7">
        <v>44454</v>
      </c>
      <c r="H113" t="str">
        <f t="shared" si="4"/>
        <v>667.450.123-91 44428 39,63</v>
      </c>
      <c r="I113" t="str">
        <f>VLOOKUP(H113,'[1]4706147 (2)'!$I$2:$I$135,1,0)</f>
        <v>667.450.123-91 44428 39,63</v>
      </c>
    </row>
    <row r="114" spans="1:9" x14ac:dyDescent="0.25">
      <c r="A114">
        <v>114</v>
      </c>
      <c r="B114" s="4" t="s">
        <v>205</v>
      </c>
      <c r="C114" s="16" t="s">
        <v>102</v>
      </c>
      <c r="D114" s="20">
        <v>44606</v>
      </c>
      <c r="E114" s="18">
        <v>45199</v>
      </c>
      <c r="F114" s="5">
        <v>79.2</v>
      </c>
      <c r="G114" s="7">
        <v>45328</v>
      </c>
      <c r="H114" t="str">
        <f t="shared" si="4"/>
        <v>700.270.414-17 45199 79,2</v>
      </c>
      <c r="I114" t="str">
        <f>VLOOKUP(H114,'[1]4706147 (2)'!$I$2:$I$135,1,0)</f>
        <v>700.270.414-17 45199 79,2</v>
      </c>
    </row>
    <row r="115" spans="1:9" x14ac:dyDescent="0.25">
      <c r="A115">
        <v>115</v>
      </c>
      <c r="B115" s="4" t="s">
        <v>205</v>
      </c>
      <c r="C115" s="16" t="s">
        <v>103</v>
      </c>
      <c r="D115" s="20">
        <v>70422</v>
      </c>
      <c r="E115" s="18">
        <v>44915</v>
      </c>
      <c r="F115" s="5">
        <v>264.16000000000003</v>
      </c>
      <c r="G115" s="7">
        <v>45028</v>
      </c>
      <c r="H115" t="str">
        <f t="shared" si="4"/>
        <v>701.546.101-35 44915 264,16</v>
      </c>
      <c r="I115" t="str">
        <f>VLOOKUP(H115,'[1]4706147 (2)'!$I$2:$I$135,1,0)</f>
        <v>701.546.101-35 44915 264,16</v>
      </c>
    </row>
    <row r="116" spans="1:9" x14ac:dyDescent="0.25">
      <c r="A116">
        <v>116</v>
      </c>
      <c r="B116" s="4" t="s">
        <v>205</v>
      </c>
      <c r="C116" s="16" t="s">
        <v>104</v>
      </c>
      <c r="D116" s="20">
        <v>67330</v>
      </c>
      <c r="E116" s="18">
        <v>44650</v>
      </c>
      <c r="F116" s="5">
        <v>526.45000000000005</v>
      </c>
      <c r="G116" s="7">
        <v>44763</v>
      </c>
      <c r="H116" t="str">
        <f t="shared" si="4"/>
        <v>702.237.263-20 44650 526,45</v>
      </c>
      <c r="I116" t="str">
        <f>VLOOKUP(H116,'[1]4706147 (2)'!$I$2:$I$135,1,0)</f>
        <v>702.237.263-20 44650 526,45</v>
      </c>
    </row>
    <row r="117" spans="1:9" x14ac:dyDescent="0.25">
      <c r="A117">
        <v>117</v>
      </c>
      <c r="B117" s="4" t="s">
        <v>205</v>
      </c>
      <c r="C117" s="16" t="s">
        <v>104</v>
      </c>
      <c r="D117" s="20">
        <v>67330</v>
      </c>
      <c r="E117" s="18">
        <v>44681</v>
      </c>
      <c r="F117" s="5">
        <v>531.48</v>
      </c>
      <c r="G117" s="7">
        <v>44763</v>
      </c>
      <c r="H117" t="str">
        <f t="shared" si="4"/>
        <v>702.237.263-20 44681 531,48</v>
      </c>
      <c r="I117" t="str">
        <f>VLOOKUP(H117,'[1]4706147 (2)'!$I$2:$I$135,1,0)</f>
        <v>702.237.263-20 44681 531,48</v>
      </c>
    </row>
    <row r="118" spans="1:9" x14ac:dyDescent="0.25">
      <c r="A118">
        <v>118</v>
      </c>
      <c r="B118" s="4" t="s">
        <v>205</v>
      </c>
      <c r="C118" s="16" t="s">
        <v>105</v>
      </c>
      <c r="D118" s="20">
        <v>11877</v>
      </c>
      <c r="E118" s="18">
        <v>44306</v>
      </c>
      <c r="F118" s="5">
        <v>577.01</v>
      </c>
      <c r="G118" s="7">
        <v>44404</v>
      </c>
      <c r="H118" t="str">
        <f t="shared" si="4"/>
        <v>778.355.813-53 44306 577,01</v>
      </c>
      <c r="I118" t="str">
        <f>VLOOKUP(H118,'[1]4706147 (2)'!$I$2:$I$135,1,0)</f>
        <v>778.355.813-53 44306 577,01</v>
      </c>
    </row>
    <row r="119" spans="1:9" x14ac:dyDescent="0.25">
      <c r="A119">
        <v>119</v>
      </c>
      <c r="B119" s="4" t="s">
        <v>205</v>
      </c>
      <c r="C119" s="16" t="s">
        <v>106</v>
      </c>
      <c r="D119" s="20">
        <v>67875</v>
      </c>
      <c r="E119" s="18">
        <v>45240</v>
      </c>
      <c r="F119" s="8">
        <v>1129.23</v>
      </c>
      <c r="G119" s="7">
        <v>45322</v>
      </c>
      <c r="H119" t="str">
        <f t="shared" si="4"/>
        <v>832.512.273-00 45240 1129,23</v>
      </c>
      <c r="I119" t="str">
        <f>VLOOKUP(H119,'[1]4706147 (2)'!$I$2:$I$135,1,0)</f>
        <v>832.512.273-00 45240 1129,23</v>
      </c>
    </row>
    <row r="120" spans="1:9" x14ac:dyDescent="0.25">
      <c r="A120">
        <v>120</v>
      </c>
      <c r="B120" s="4" t="s">
        <v>205</v>
      </c>
      <c r="C120" s="16" t="s">
        <v>106</v>
      </c>
      <c r="D120" s="20">
        <v>67875</v>
      </c>
      <c r="E120" s="18">
        <v>45270</v>
      </c>
      <c r="F120" s="8">
        <v>1129.23</v>
      </c>
      <c r="G120" s="7">
        <v>45322</v>
      </c>
      <c r="H120" t="str">
        <f t="shared" si="4"/>
        <v>832.512.273-00 45270 1129,23</v>
      </c>
      <c r="I120" t="str">
        <f>VLOOKUP(H120,'[1]4706147 (2)'!$I$2:$I$135,1,0)</f>
        <v>832.512.273-00 45270 1129,23</v>
      </c>
    </row>
    <row r="121" spans="1:9" x14ac:dyDescent="0.25">
      <c r="A121">
        <v>121</v>
      </c>
      <c r="B121" s="4" t="s">
        <v>205</v>
      </c>
      <c r="C121" s="16" t="s">
        <v>106</v>
      </c>
      <c r="D121" s="20">
        <v>67508</v>
      </c>
      <c r="E121" s="18">
        <v>45270</v>
      </c>
      <c r="F121" s="5">
        <v>322.74</v>
      </c>
      <c r="G121" s="7">
        <v>45323</v>
      </c>
      <c r="H121" t="str">
        <f t="shared" si="4"/>
        <v>832.512.273-00 45270 322,74</v>
      </c>
      <c r="I121" t="s">
        <v>121</v>
      </c>
    </row>
    <row r="122" spans="1:9" x14ac:dyDescent="0.25">
      <c r="A122">
        <v>122</v>
      </c>
      <c r="B122" s="4" t="s">
        <v>205</v>
      </c>
      <c r="C122" s="16" t="s">
        <v>106</v>
      </c>
      <c r="D122" s="20">
        <v>67875</v>
      </c>
      <c r="E122" s="18">
        <v>45301</v>
      </c>
      <c r="F122" s="8">
        <v>1129.23</v>
      </c>
      <c r="G122" s="7">
        <v>45322</v>
      </c>
      <c r="H122" t="str">
        <f t="shared" si="4"/>
        <v>832.512.273-00 45301 1129,23</v>
      </c>
      <c r="I122" t="str">
        <f>VLOOKUP(H122,'[1]4706147 (2)'!$I$2:$I$135,1,0)</f>
        <v>832.512.273-00 45301 1129,23</v>
      </c>
    </row>
    <row r="123" spans="1:9" x14ac:dyDescent="0.25">
      <c r="A123">
        <v>123</v>
      </c>
      <c r="B123" s="4" t="s">
        <v>205</v>
      </c>
      <c r="C123" s="16" t="s">
        <v>107</v>
      </c>
      <c r="D123" s="20">
        <v>70756</v>
      </c>
      <c r="E123" s="18">
        <v>44854</v>
      </c>
      <c r="F123" s="5">
        <v>246.38</v>
      </c>
      <c r="G123" s="7">
        <v>45002</v>
      </c>
      <c r="H123" t="str">
        <f t="shared" si="4"/>
        <v>850.558.323-04 44854 246,38</v>
      </c>
      <c r="I123" t="str">
        <f>VLOOKUP(H123,'[1]4706147 (2)'!$I$2:$I$135,1,0)</f>
        <v>850.558.323-04 44854 246,38</v>
      </c>
    </row>
    <row r="124" spans="1:9" x14ac:dyDescent="0.25">
      <c r="A124">
        <v>124</v>
      </c>
      <c r="B124" s="4" t="s">
        <v>205</v>
      </c>
      <c r="C124" s="16" t="s">
        <v>107</v>
      </c>
      <c r="D124" s="20">
        <v>70756</v>
      </c>
      <c r="E124" s="18">
        <v>44885</v>
      </c>
      <c r="F124" s="5">
        <v>246.38</v>
      </c>
      <c r="G124" s="7">
        <v>45002</v>
      </c>
      <c r="H124" t="str">
        <f t="shared" si="4"/>
        <v>850.558.323-04 44885 246,38</v>
      </c>
      <c r="I124" t="str">
        <f>VLOOKUP(H124,'[1]4706147 (2)'!$I$2:$I$135,1,0)</f>
        <v>850.558.323-04 44885 246,38</v>
      </c>
    </row>
    <row r="125" spans="1:9" x14ac:dyDescent="0.25">
      <c r="A125">
        <v>125</v>
      </c>
      <c r="B125" s="4" t="s">
        <v>205</v>
      </c>
      <c r="C125" s="16" t="s">
        <v>108</v>
      </c>
      <c r="D125" s="20">
        <v>25153</v>
      </c>
      <c r="E125" s="18">
        <v>44586</v>
      </c>
      <c r="F125" s="5">
        <v>204.03</v>
      </c>
      <c r="G125" s="7">
        <v>44714</v>
      </c>
      <c r="H125" t="str">
        <f t="shared" si="4"/>
        <v>856.002.883-87 44586 204,03</v>
      </c>
      <c r="I125" t="str">
        <f>VLOOKUP(H125,'[1]4706147 (2)'!$I$2:$I$135,1,0)</f>
        <v>856.002.883-87 44586 204,03</v>
      </c>
    </row>
    <row r="126" spans="1:9" x14ac:dyDescent="0.25">
      <c r="A126">
        <v>126</v>
      </c>
      <c r="B126" s="4" t="s">
        <v>205</v>
      </c>
      <c r="C126" s="16" t="s">
        <v>109</v>
      </c>
      <c r="D126" s="20">
        <v>70485</v>
      </c>
      <c r="E126" s="18">
        <v>45219</v>
      </c>
      <c r="F126" s="5">
        <v>911.19</v>
      </c>
      <c r="G126" s="7">
        <v>45322</v>
      </c>
      <c r="H126" t="str">
        <f t="shared" si="4"/>
        <v>859.055.183-00 45219 911,19</v>
      </c>
      <c r="I126" t="str">
        <f>VLOOKUP(H126,'[1]4706147 (2)'!$I$2:$I$135,1,0)</f>
        <v>859.055.183-00 45219 911,19</v>
      </c>
    </row>
    <row r="127" spans="1:9" x14ac:dyDescent="0.25">
      <c r="A127">
        <v>127</v>
      </c>
      <c r="B127" s="4" t="s">
        <v>205</v>
      </c>
      <c r="C127" s="16" t="s">
        <v>110</v>
      </c>
      <c r="D127" s="20">
        <v>63860</v>
      </c>
      <c r="E127" s="18">
        <v>45270</v>
      </c>
      <c r="F127" s="5">
        <v>400.24</v>
      </c>
      <c r="G127" s="7">
        <v>45323</v>
      </c>
      <c r="H127" t="str">
        <f t="shared" si="4"/>
        <v>873.129.803-68 45270 400,24</v>
      </c>
      <c r="I127" t="str">
        <f>VLOOKUP(H127,'[1]4706147 (2)'!$I$2:$I$135,1,0)</f>
        <v>873.129.803-68 45270 400,24</v>
      </c>
    </row>
    <row r="128" spans="1:9" x14ac:dyDescent="0.25">
      <c r="A128">
        <v>128</v>
      </c>
      <c r="B128" s="4" t="s">
        <v>205</v>
      </c>
      <c r="C128" s="16" t="s">
        <v>111</v>
      </c>
      <c r="D128" s="20">
        <v>29109</v>
      </c>
      <c r="E128" s="18">
        <v>45285</v>
      </c>
      <c r="F128" s="5">
        <v>227.52</v>
      </c>
      <c r="G128" s="7">
        <v>45323</v>
      </c>
      <c r="H128" t="str">
        <f t="shared" si="4"/>
        <v>900.743.433-00 45285 227,52</v>
      </c>
      <c r="I128" t="str">
        <f>VLOOKUP(H128,'[1]4706147 (2)'!$I$2:$I$135,1,0)</f>
        <v>900.743.433-00 45285 227,52</v>
      </c>
    </row>
    <row r="129" spans="1:9" x14ac:dyDescent="0.25">
      <c r="A129">
        <v>129</v>
      </c>
      <c r="B129" s="4" t="s">
        <v>205</v>
      </c>
      <c r="C129" s="16" t="s">
        <v>112</v>
      </c>
      <c r="D129" s="20">
        <v>56186</v>
      </c>
      <c r="E129" s="18">
        <v>45392</v>
      </c>
      <c r="F129" s="5">
        <v>329.32</v>
      </c>
      <c r="G129" s="7">
        <v>45464</v>
      </c>
      <c r="H129" t="str">
        <f t="shared" si="4"/>
        <v>904.272.033-68 45392 329,32</v>
      </c>
      <c r="I129" t="str">
        <f>VLOOKUP(H129,'[1]4706147 (2)'!$I$2:$I$135,1,0)</f>
        <v>904.272.033-68 45392 329,32</v>
      </c>
    </row>
    <row r="130" spans="1:9" x14ac:dyDescent="0.25">
      <c r="A130">
        <v>130</v>
      </c>
      <c r="B130" s="4" t="s">
        <v>205</v>
      </c>
      <c r="C130" s="16" t="s">
        <v>112</v>
      </c>
      <c r="D130" s="20">
        <v>56186</v>
      </c>
      <c r="E130" s="18">
        <v>45422</v>
      </c>
      <c r="F130" s="5">
        <v>329.32</v>
      </c>
      <c r="G130" s="7">
        <v>45488</v>
      </c>
      <c r="H130" t="str">
        <f t="shared" si="4"/>
        <v>904.272.033-68 45422 329,32</v>
      </c>
      <c r="I130" t="str">
        <f>VLOOKUP(H130,'[1]4706147 (2)'!$I$2:$I$135,1,0)</f>
        <v>904.272.033-68 45422 329,32</v>
      </c>
    </row>
    <row r="131" spans="1:9" x14ac:dyDescent="0.25">
      <c r="A131">
        <v>131</v>
      </c>
      <c r="B131" s="4" t="s">
        <v>205</v>
      </c>
      <c r="C131" s="16" t="s">
        <v>112</v>
      </c>
      <c r="D131" s="20">
        <v>56186</v>
      </c>
      <c r="E131" s="18">
        <v>45361</v>
      </c>
      <c r="F131" s="5">
        <v>329.32</v>
      </c>
      <c r="G131" s="7">
        <v>45477</v>
      </c>
      <c r="H131" t="str">
        <f t="shared" si="4"/>
        <v>904.272.033-68 45361 329,32</v>
      </c>
      <c r="I131" t="str">
        <f>VLOOKUP(H131,'[1]4706147 (2)'!$I$2:$I$135,1,0)</f>
        <v>904.272.033-68 45361 329,32</v>
      </c>
    </row>
    <row r="132" spans="1:9" x14ac:dyDescent="0.25">
      <c r="A132">
        <v>132</v>
      </c>
      <c r="B132" s="4" t="s">
        <v>205</v>
      </c>
      <c r="C132" s="16" t="s">
        <v>113</v>
      </c>
      <c r="D132" s="20">
        <v>67589</v>
      </c>
      <c r="E132" s="18">
        <v>45250</v>
      </c>
      <c r="F132" s="5">
        <v>204.22</v>
      </c>
      <c r="G132" s="7">
        <v>45323</v>
      </c>
      <c r="H132" t="str">
        <f t="shared" si="4"/>
        <v>904.533.873-49 45250 204,22</v>
      </c>
      <c r="I132" t="str">
        <f>VLOOKUP(H132,'[1]4706147 (2)'!$I$2:$I$135,1,0)</f>
        <v>904.533.873-49 45250 204,22</v>
      </c>
    </row>
    <row r="133" spans="1:9" x14ac:dyDescent="0.25">
      <c r="A133">
        <v>133</v>
      </c>
      <c r="B133" s="4" t="s">
        <v>205</v>
      </c>
      <c r="C133" s="16" t="s">
        <v>113</v>
      </c>
      <c r="D133" s="20">
        <v>67589</v>
      </c>
      <c r="E133" s="18">
        <v>45219</v>
      </c>
      <c r="F133" s="5">
        <v>204.22</v>
      </c>
      <c r="G133" s="7">
        <v>45323</v>
      </c>
      <c r="H133" t="str">
        <f t="shared" si="4"/>
        <v>904.533.873-49 45219 204,22</v>
      </c>
      <c r="I133" t="str">
        <f>VLOOKUP(H133,'[1]4706147 (2)'!$I$2:$I$135,1,0)</f>
        <v>904.533.873-49 45219 204,22</v>
      </c>
    </row>
    <row r="134" spans="1:9" x14ac:dyDescent="0.25">
      <c r="A134">
        <v>134</v>
      </c>
      <c r="B134" s="4" t="s">
        <v>205</v>
      </c>
      <c r="C134" s="16" t="s">
        <v>114</v>
      </c>
      <c r="D134" s="20">
        <v>47930</v>
      </c>
      <c r="E134" s="18">
        <v>45290</v>
      </c>
      <c r="F134" s="5">
        <v>283.98</v>
      </c>
      <c r="G134" s="7">
        <v>45323</v>
      </c>
      <c r="H134" t="str">
        <f t="shared" si="4"/>
        <v>905.305.433-20 45290 283,98</v>
      </c>
      <c r="I134" t="s">
        <v>121</v>
      </c>
    </row>
    <row r="135" spans="1:9" x14ac:dyDescent="0.25">
      <c r="A135">
        <v>135</v>
      </c>
      <c r="B135" s="4" t="s">
        <v>205</v>
      </c>
      <c r="C135" s="16" t="s">
        <v>115</v>
      </c>
      <c r="D135" s="20">
        <v>37429</v>
      </c>
      <c r="E135" s="18">
        <v>45285</v>
      </c>
      <c r="F135" s="5">
        <v>743.22</v>
      </c>
      <c r="G135" s="7">
        <v>45323</v>
      </c>
      <c r="H135" t="str">
        <f t="shared" si="4"/>
        <v>920.075.463-53 45285 743,22</v>
      </c>
      <c r="I135" t="str">
        <f>VLOOKUP(H135,'[1]4706147 (2)'!$I$2:$I$135,1,0)</f>
        <v>920.075.463-53 45285 743,22</v>
      </c>
    </row>
    <row r="136" spans="1:9" x14ac:dyDescent="0.25">
      <c r="A136">
        <v>136</v>
      </c>
      <c r="B136" s="4" t="s">
        <v>205</v>
      </c>
      <c r="C136" s="16" t="s">
        <v>115</v>
      </c>
      <c r="D136" s="20">
        <v>37429</v>
      </c>
      <c r="E136" s="18">
        <v>45255</v>
      </c>
      <c r="F136" s="5">
        <v>743.22</v>
      </c>
      <c r="G136" s="7">
        <v>45323</v>
      </c>
      <c r="H136" t="str">
        <f t="shared" si="4"/>
        <v>920.075.463-53 45255 743,22</v>
      </c>
      <c r="I136" t="s">
        <v>121</v>
      </c>
    </row>
    <row r="137" spans="1:9" x14ac:dyDescent="0.25">
      <c r="A137">
        <v>137</v>
      </c>
      <c r="B137" s="4" t="s">
        <v>205</v>
      </c>
      <c r="C137" s="16" t="s">
        <v>116</v>
      </c>
      <c r="D137" s="20">
        <v>67228</v>
      </c>
      <c r="E137" s="18">
        <v>45240</v>
      </c>
      <c r="F137" s="5">
        <v>190.02</v>
      </c>
      <c r="G137" s="7">
        <v>45271</v>
      </c>
      <c r="H137" t="str">
        <f t="shared" ref="H137" si="5">_xlfn.CONCAT(C137," ",E137," ",F137)</f>
        <v>923.117.923-34 45240 190,02</v>
      </c>
      <c r="I137" t="str">
        <f>VLOOKUP(H137,'[1]4706147 (2)'!$I$2:$I$135,1,0)</f>
        <v>923.117.923-34 45240 190,02</v>
      </c>
    </row>
  </sheetData>
  <autoFilter ref="A1:I137" xr:uid="{85985348-9E6D-4BBF-A643-9D20568E819C}">
    <sortState xmlns:xlrd2="http://schemas.microsoft.com/office/spreadsheetml/2017/richdata2" ref="A7:I136">
      <sortCondition ref="C1:C137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C9C8-A2DF-42D5-9B0F-B5383B7283F3}">
  <dimension ref="A1:J1355"/>
  <sheetViews>
    <sheetView zoomScaleNormal="100" workbookViewId="0">
      <pane ySplit="1" topLeftCell="A1349" activePane="bottomLeft" state="frozen"/>
      <selection pane="bottomLeft" activeCell="C1352" sqref="C1352:I1355"/>
    </sheetView>
  </sheetViews>
  <sheetFormatPr defaultRowHeight="15" x14ac:dyDescent="0.25"/>
  <cols>
    <col min="2" max="2" width="21.140625" customWidth="1"/>
    <col min="3" max="3" width="18.7109375" style="77" customWidth="1"/>
    <col min="4" max="4" width="19" style="77" customWidth="1"/>
    <col min="5" max="5" width="24.85546875" style="77" bestFit="1" customWidth="1"/>
    <col min="6" max="6" width="16.28515625" style="77" bestFit="1" customWidth="1"/>
    <col min="7" max="7" width="17.85546875" bestFit="1" customWidth="1"/>
    <col min="8" max="8" width="53.28515625" bestFit="1" customWidth="1"/>
    <col min="9" max="9" width="18.5703125" style="32" bestFit="1" customWidth="1"/>
    <col min="10" max="10" width="25.85546875" bestFit="1" customWidth="1"/>
    <col min="11" max="11" width="21.5703125" customWidth="1"/>
  </cols>
  <sheetData>
    <row r="1" spans="1:10" x14ac:dyDescent="0.25">
      <c r="A1" t="s">
        <v>119</v>
      </c>
      <c r="B1" s="1" t="s">
        <v>0</v>
      </c>
      <c r="C1" s="53" t="s">
        <v>280</v>
      </c>
      <c r="D1" s="42" t="s">
        <v>1</v>
      </c>
      <c r="E1" s="53" t="s">
        <v>2</v>
      </c>
      <c r="F1" s="54" t="s">
        <v>3</v>
      </c>
      <c r="G1" s="2" t="s">
        <v>318</v>
      </c>
      <c r="H1" s="14" t="s">
        <v>117</v>
      </c>
      <c r="I1" s="82" t="s">
        <v>461</v>
      </c>
      <c r="J1" s="14" t="s">
        <v>120</v>
      </c>
    </row>
    <row r="2" spans="1:10" x14ac:dyDescent="0.25">
      <c r="A2">
        <v>2</v>
      </c>
      <c r="B2" s="24" t="s">
        <v>205</v>
      </c>
      <c r="C2" s="43">
        <v>12579408304</v>
      </c>
      <c r="D2" s="55">
        <v>68812</v>
      </c>
      <c r="E2" s="56">
        <v>45879</v>
      </c>
      <c r="F2" s="57">
        <v>1427.89</v>
      </c>
      <c r="G2" t="s">
        <v>282</v>
      </c>
      <c r="H2" t="s">
        <v>118</v>
      </c>
      <c r="I2" s="32" t="s">
        <v>475</v>
      </c>
      <c r="J2" s="31" t="str">
        <f t="shared" ref="J2:J65" si="0">_xlfn.CONCAT(D2," ",E2)</f>
        <v>68812 45879</v>
      </c>
    </row>
    <row r="3" spans="1:10" x14ac:dyDescent="0.25">
      <c r="A3">
        <v>3</v>
      </c>
      <c r="B3" s="24" t="s">
        <v>205</v>
      </c>
      <c r="C3" s="43">
        <v>20465211372</v>
      </c>
      <c r="D3" s="55">
        <v>39628</v>
      </c>
      <c r="E3" s="56">
        <v>45868</v>
      </c>
      <c r="F3" s="57">
        <v>193.62</v>
      </c>
      <c r="G3" t="s">
        <v>282</v>
      </c>
      <c r="H3" t="s">
        <v>462</v>
      </c>
      <c r="I3" s="83">
        <v>45965</v>
      </c>
      <c r="J3" s="31" t="str">
        <f t="shared" si="0"/>
        <v>39628 45868</v>
      </c>
    </row>
    <row r="4" spans="1:10" x14ac:dyDescent="0.25">
      <c r="A4">
        <v>4</v>
      </c>
      <c r="B4" s="24" t="s">
        <v>205</v>
      </c>
      <c r="C4" s="43">
        <v>22526870372</v>
      </c>
      <c r="D4" s="55">
        <v>72020</v>
      </c>
      <c r="E4" s="56">
        <v>45858</v>
      </c>
      <c r="F4" s="57">
        <v>295.16000000000003</v>
      </c>
      <c r="G4" t="s">
        <v>282</v>
      </c>
      <c r="H4" t="s">
        <v>462</v>
      </c>
      <c r="I4" s="83">
        <v>45965</v>
      </c>
      <c r="J4" s="31" t="str">
        <f t="shared" si="0"/>
        <v>72020 45858</v>
      </c>
    </row>
    <row r="5" spans="1:10" x14ac:dyDescent="0.25">
      <c r="A5">
        <v>5</v>
      </c>
      <c r="B5" s="24" t="s">
        <v>205</v>
      </c>
      <c r="C5" s="43">
        <v>23808691387</v>
      </c>
      <c r="D5" s="55">
        <v>69159</v>
      </c>
      <c r="E5" s="56">
        <v>45848</v>
      </c>
      <c r="F5" s="57">
        <v>1621.94</v>
      </c>
      <c r="G5" t="s">
        <v>282</v>
      </c>
      <c r="H5" t="s">
        <v>462</v>
      </c>
      <c r="I5" s="83">
        <v>45965</v>
      </c>
      <c r="J5" s="31" t="str">
        <f t="shared" si="0"/>
        <v>69159 45848</v>
      </c>
    </row>
    <row r="6" spans="1:10" x14ac:dyDescent="0.25">
      <c r="A6">
        <v>6</v>
      </c>
      <c r="B6" s="24" t="s">
        <v>205</v>
      </c>
      <c r="C6" s="43">
        <v>23808691387</v>
      </c>
      <c r="D6" s="55">
        <v>72443</v>
      </c>
      <c r="E6" s="56">
        <v>45879</v>
      </c>
      <c r="F6" s="57">
        <v>1657.94</v>
      </c>
      <c r="G6" t="s">
        <v>282</v>
      </c>
      <c r="H6" t="s">
        <v>462</v>
      </c>
      <c r="I6" s="83">
        <v>45965</v>
      </c>
      <c r="J6" s="31" t="str">
        <f t="shared" si="0"/>
        <v>72443 45879</v>
      </c>
    </row>
    <row r="7" spans="1:10" x14ac:dyDescent="0.25">
      <c r="A7">
        <v>7</v>
      </c>
      <c r="B7" s="24" t="s">
        <v>205</v>
      </c>
      <c r="C7" s="43">
        <v>23808691387</v>
      </c>
      <c r="D7" s="55">
        <v>69159</v>
      </c>
      <c r="E7" s="56">
        <v>45879</v>
      </c>
      <c r="F7" s="57">
        <v>1657.94</v>
      </c>
      <c r="G7" t="s">
        <v>282</v>
      </c>
      <c r="H7" t="s">
        <v>462</v>
      </c>
      <c r="I7" s="83">
        <v>45965</v>
      </c>
      <c r="J7" s="31" t="str">
        <f t="shared" si="0"/>
        <v>69159 45879</v>
      </c>
    </row>
    <row r="8" spans="1:10" x14ac:dyDescent="0.25">
      <c r="A8">
        <v>8</v>
      </c>
      <c r="B8" s="24" t="s">
        <v>205</v>
      </c>
      <c r="C8" s="43">
        <v>32842600304</v>
      </c>
      <c r="D8" s="55">
        <v>11419</v>
      </c>
      <c r="E8" s="56">
        <v>45879</v>
      </c>
      <c r="F8" s="57">
        <v>284.48</v>
      </c>
      <c r="G8" t="s">
        <v>282</v>
      </c>
      <c r="H8" t="s">
        <v>462</v>
      </c>
      <c r="I8" s="83">
        <v>45965</v>
      </c>
      <c r="J8" s="31" t="str">
        <f t="shared" si="0"/>
        <v>11419 45879</v>
      </c>
    </row>
    <row r="9" spans="1:10" x14ac:dyDescent="0.25">
      <c r="A9">
        <v>9</v>
      </c>
      <c r="B9" s="24" t="s">
        <v>205</v>
      </c>
      <c r="C9" s="43">
        <v>34498818334</v>
      </c>
      <c r="D9" s="55">
        <v>47954</v>
      </c>
      <c r="E9" s="56">
        <v>45879</v>
      </c>
      <c r="F9" s="57">
        <v>268.38</v>
      </c>
      <c r="G9" t="s">
        <v>282</v>
      </c>
      <c r="H9" t="s">
        <v>462</v>
      </c>
      <c r="I9" s="83">
        <v>45965</v>
      </c>
      <c r="J9" s="31" t="str">
        <f t="shared" si="0"/>
        <v>47954 45879</v>
      </c>
    </row>
    <row r="10" spans="1:10" x14ac:dyDescent="0.25">
      <c r="A10">
        <v>10</v>
      </c>
      <c r="B10" s="24" t="s">
        <v>205</v>
      </c>
      <c r="C10" s="43">
        <v>36548146387</v>
      </c>
      <c r="D10" s="55">
        <v>39752</v>
      </c>
      <c r="E10" s="56">
        <v>45863</v>
      </c>
      <c r="F10" s="57">
        <v>281.75</v>
      </c>
      <c r="G10" t="s">
        <v>282</v>
      </c>
      <c r="H10" t="s">
        <v>462</v>
      </c>
      <c r="I10" s="83">
        <v>45965</v>
      </c>
      <c r="J10" s="31" t="str">
        <f t="shared" si="0"/>
        <v>39752 45863</v>
      </c>
    </row>
    <row r="11" spans="1:10" x14ac:dyDescent="0.25">
      <c r="A11">
        <v>11</v>
      </c>
      <c r="B11" s="24" t="s">
        <v>205</v>
      </c>
      <c r="C11" s="43">
        <v>36554103368</v>
      </c>
      <c r="D11" s="55">
        <v>56522</v>
      </c>
      <c r="E11" s="56">
        <v>45868</v>
      </c>
      <c r="F11" s="57">
        <v>383.5</v>
      </c>
      <c r="G11" t="s">
        <v>282</v>
      </c>
      <c r="H11" t="s">
        <v>462</v>
      </c>
      <c r="I11" s="83">
        <v>45965</v>
      </c>
      <c r="J11" s="31" t="str">
        <f t="shared" si="0"/>
        <v>56522 45868</v>
      </c>
    </row>
    <row r="12" spans="1:10" x14ac:dyDescent="0.25">
      <c r="A12">
        <v>12</v>
      </c>
      <c r="B12" s="24" t="s">
        <v>205</v>
      </c>
      <c r="C12" s="43">
        <v>39849902272</v>
      </c>
      <c r="D12" s="55">
        <v>30904</v>
      </c>
      <c r="E12" s="56">
        <v>45863</v>
      </c>
      <c r="F12" s="57">
        <v>262.35000000000002</v>
      </c>
      <c r="G12" t="s">
        <v>282</v>
      </c>
      <c r="H12" t="s">
        <v>462</v>
      </c>
      <c r="I12" s="83">
        <v>45965</v>
      </c>
      <c r="J12" s="31" t="str">
        <f t="shared" si="0"/>
        <v>30904 45863</v>
      </c>
    </row>
    <row r="13" spans="1:10" x14ac:dyDescent="0.25">
      <c r="A13">
        <v>13</v>
      </c>
      <c r="B13" s="24" t="s">
        <v>205</v>
      </c>
      <c r="C13" s="43">
        <v>40177645334</v>
      </c>
      <c r="D13" s="55">
        <v>43028</v>
      </c>
      <c r="E13" s="56">
        <v>45868</v>
      </c>
      <c r="F13" s="57">
        <v>474.18</v>
      </c>
      <c r="G13" t="s">
        <v>282</v>
      </c>
      <c r="H13" t="s">
        <v>118</v>
      </c>
      <c r="I13" s="32" t="s">
        <v>475</v>
      </c>
      <c r="J13" s="31" t="str">
        <f t="shared" si="0"/>
        <v>43028 45868</v>
      </c>
    </row>
    <row r="14" spans="1:10" x14ac:dyDescent="0.25">
      <c r="A14">
        <v>14</v>
      </c>
      <c r="B14" s="24" t="s">
        <v>205</v>
      </c>
      <c r="C14" s="43">
        <v>40177645334</v>
      </c>
      <c r="D14" s="55">
        <v>42762</v>
      </c>
      <c r="E14" s="56">
        <v>45879</v>
      </c>
      <c r="F14" s="57">
        <v>533.52</v>
      </c>
      <c r="G14" t="s">
        <v>282</v>
      </c>
      <c r="H14" t="s">
        <v>118</v>
      </c>
      <c r="I14" s="32" t="s">
        <v>475</v>
      </c>
      <c r="J14" s="31" t="str">
        <f t="shared" si="0"/>
        <v>42762 45879</v>
      </c>
    </row>
    <row r="15" spans="1:10" x14ac:dyDescent="0.25">
      <c r="A15">
        <v>15</v>
      </c>
      <c r="B15" s="24" t="s">
        <v>205</v>
      </c>
      <c r="C15" s="43">
        <v>40202577287</v>
      </c>
      <c r="D15" s="55">
        <v>58508</v>
      </c>
      <c r="E15" s="56">
        <v>45879</v>
      </c>
      <c r="F15" s="57">
        <v>575.9</v>
      </c>
      <c r="G15" t="s">
        <v>282</v>
      </c>
      <c r="H15" t="s">
        <v>462</v>
      </c>
      <c r="I15" s="83">
        <v>45965</v>
      </c>
      <c r="J15" s="31" t="str">
        <f t="shared" si="0"/>
        <v>58508 45879</v>
      </c>
    </row>
    <row r="16" spans="1:10" x14ac:dyDescent="0.25">
      <c r="A16">
        <v>16</v>
      </c>
      <c r="B16" s="24" t="s">
        <v>205</v>
      </c>
      <c r="C16" s="43">
        <v>40240290372</v>
      </c>
      <c r="D16" s="55">
        <v>33547</v>
      </c>
      <c r="E16" s="56">
        <v>45858</v>
      </c>
      <c r="F16" s="57">
        <v>201.11</v>
      </c>
      <c r="G16" t="s">
        <v>282</v>
      </c>
      <c r="H16" t="s">
        <v>462</v>
      </c>
      <c r="I16" s="83">
        <v>45965</v>
      </c>
      <c r="J16" s="31" t="str">
        <f t="shared" si="0"/>
        <v>33547 45858</v>
      </c>
    </row>
    <row r="17" spans="1:10" x14ac:dyDescent="0.25">
      <c r="A17">
        <v>17</v>
      </c>
      <c r="B17" s="24" t="s">
        <v>205</v>
      </c>
      <c r="C17" s="43">
        <v>46689087387</v>
      </c>
      <c r="D17" s="55">
        <v>57241</v>
      </c>
      <c r="E17" s="56">
        <v>45879</v>
      </c>
      <c r="F17" s="57">
        <v>475.89</v>
      </c>
      <c r="G17" t="s">
        <v>282</v>
      </c>
      <c r="H17" t="s">
        <v>462</v>
      </c>
      <c r="I17" s="83">
        <v>45965</v>
      </c>
      <c r="J17" s="31" t="str">
        <f t="shared" si="0"/>
        <v>57241 45879</v>
      </c>
    </row>
    <row r="18" spans="1:10" x14ac:dyDescent="0.25">
      <c r="A18">
        <v>18</v>
      </c>
      <c r="B18" s="24" t="s">
        <v>205</v>
      </c>
      <c r="C18" s="43">
        <v>52320936300</v>
      </c>
      <c r="D18" s="55">
        <v>46204</v>
      </c>
      <c r="E18" s="56">
        <v>45879</v>
      </c>
      <c r="F18" s="57">
        <v>297.04000000000002</v>
      </c>
      <c r="G18" t="s">
        <v>282</v>
      </c>
      <c r="H18" t="s">
        <v>462</v>
      </c>
      <c r="I18" s="83">
        <v>45965</v>
      </c>
      <c r="J18" s="31" t="str">
        <f t="shared" si="0"/>
        <v>46204 45879</v>
      </c>
    </row>
    <row r="19" spans="1:10" x14ac:dyDescent="0.25">
      <c r="A19">
        <v>19</v>
      </c>
      <c r="B19" s="24" t="s">
        <v>205</v>
      </c>
      <c r="C19" s="43">
        <v>55806627349</v>
      </c>
      <c r="D19" s="55">
        <v>57466</v>
      </c>
      <c r="E19" s="56">
        <v>45879</v>
      </c>
      <c r="F19" s="57">
        <v>1275.76</v>
      </c>
      <c r="G19" t="s">
        <v>282</v>
      </c>
      <c r="H19" t="s">
        <v>462</v>
      </c>
      <c r="I19" s="83">
        <v>45965</v>
      </c>
      <c r="J19" s="31" t="str">
        <f t="shared" si="0"/>
        <v>57466 45879</v>
      </c>
    </row>
    <row r="20" spans="1:10" x14ac:dyDescent="0.25">
      <c r="A20">
        <v>20</v>
      </c>
      <c r="B20" s="24" t="s">
        <v>205</v>
      </c>
      <c r="C20" s="43">
        <v>57649901300</v>
      </c>
      <c r="D20" s="55">
        <v>14587</v>
      </c>
      <c r="E20" s="56">
        <v>45879</v>
      </c>
      <c r="F20" s="57">
        <v>312.3</v>
      </c>
      <c r="G20" t="s">
        <v>282</v>
      </c>
      <c r="H20" t="s">
        <v>462</v>
      </c>
      <c r="I20" s="83">
        <v>45965</v>
      </c>
      <c r="J20" s="31" t="str">
        <f t="shared" si="0"/>
        <v>14587 45879</v>
      </c>
    </row>
    <row r="21" spans="1:10" x14ac:dyDescent="0.25">
      <c r="A21">
        <v>21</v>
      </c>
      <c r="B21" s="24" t="s">
        <v>205</v>
      </c>
      <c r="C21" s="43">
        <v>57709912320</v>
      </c>
      <c r="D21" s="55">
        <v>57658</v>
      </c>
      <c r="E21" s="56">
        <v>45838</v>
      </c>
      <c r="F21" s="57">
        <v>459.22</v>
      </c>
      <c r="G21" t="s">
        <v>282</v>
      </c>
      <c r="H21" t="s">
        <v>462</v>
      </c>
      <c r="I21" s="83">
        <v>45965</v>
      </c>
      <c r="J21" s="31" t="str">
        <f t="shared" si="0"/>
        <v>57658 45838</v>
      </c>
    </row>
    <row r="22" spans="1:10" x14ac:dyDescent="0.25">
      <c r="A22">
        <v>22</v>
      </c>
      <c r="B22" s="24" t="s">
        <v>205</v>
      </c>
      <c r="C22" s="43">
        <v>60172993369</v>
      </c>
      <c r="D22" s="55">
        <v>49282</v>
      </c>
      <c r="E22" s="56">
        <v>45879</v>
      </c>
      <c r="F22" s="57">
        <v>355.7</v>
      </c>
      <c r="G22" t="s">
        <v>282</v>
      </c>
      <c r="H22" t="s">
        <v>462</v>
      </c>
      <c r="I22" s="83">
        <v>45965</v>
      </c>
      <c r="J22" s="31" t="str">
        <f t="shared" si="0"/>
        <v>49282 45879</v>
      </c>
    </row>
    <row r="23" spans="1:10" x14ac:dyDescent="0.25">
      <c r="A23">
        <v>23</v>
      </c>
      <c r="B23" s="24" t="s">
        <v>205</v>
      </c>
      <c r="C23" s="43">
        <v>60212793365</v>
      </c>
      <c r="D23" s="55">
        <v>69771</v>
      </c>
      <c r="E23" s="56">
        <v>45858</v>
      </c>
      <c r="F23" s="57">
        <v>238.07</v>
      </c>
      <c r="G23" t="s">
        <v>282</v>
      </c>
      <c r="H23" t="s">
        <v>118</v>
      </c>
      <c r="I23" s="32" t="s">
        <v>475</v>
      </c>
      <c r="J23" s="31" t="str">
        <f t="shared" si="0"/>
        <v>69771 45858</v>
      </c>
    </row>
    <row r="24" spans="1:10" x14ac:dyDescent="0.25">
      <c r="A24">
        <v>24</v>
      </c>
      <c r="B24" s="24" t="s">
        <v>205</v>
      </c>
      <c r="C24" s="43">
        <v>60411145371</v>
      </c>
      <c r="D24" s="55">
        <v>70195</v>
      </c>
      <c r="E24" s="56">
        <v>45858</v>
      </c>
      <c r="F24" s="57">
        <v>238.07</v>
      </c>
      <c r="G24" t="s">
        <v>282</v>
      </c>
      <c r="H24" t="s">
        <v>462</v>
      </c>
      <c r="I24" s="83">
        <v>45965</v>
      </c>
      <c r="J24" s="31" t="str">
        <f t="shared" si="0"/>
        <v>70195 45858</v>
      </c>
    </row>
    <row r="25" spans="1:10" x14ac:dyDescent="0.25">
      <c r="A25">
        <v>25</v>
      </c>
      <c r="B25" s="24" t="s">
        <v>205</v>
      </c>
      <c r="C25" s="43">
        <v>60411145371</v>
      </c>
      <c r="D25" s="55">
        <v>70206</v>
      </c>
      <c r="E25" s="56">
        <v>45858</v>
      </c>
      <c r="F25" s="57">
        <v>238.07</v>
      </c>
      <c r="G25" t="s">
        <v>282</v>
      </c>
      <c r="H25" t="s">
        <v>462</v>
      </c>
      <c r="I25" s="83">
        <v>45965</v>
      </c>
      <c r="J25" s="31" t="str">
        <f t="shared" si="0"/>
        <v>70206 45858</v>
      </c>
    </row>
    <row r="26" spans="1:10" x14ac:dyDescent="0.25">
      <c r="A26">
        <v>26</v>
      </c>
      <c r="B26" s="24" t="s">
        <v>205</v>
      </c>
      <c r="C26" s="43">
        <v>60458054291</v>
      </c>
      <c r="D26" s="55">
        <v>62185</v>
      </c>
      <c r="E26" s="56">
        <v>45868</v>
      </c>
      <c r="F26" s="57">
        <v>1049.57</v>
      </c>
      <c r="G26" t="s">
        <v>282</v>
      </c>
      <c r="H26" t="s">
        <v>462</v>
      </c>
      <c r="I26" s="83">
        <v>45965</v>
      </c>
      <c r="J26" s="31" t="str">
        <f t="shared" si="0"/>
        <v>62185 45868</v>
      </c>
    </row>
    <row r="27" spans="1:10" x14ac:dyDescent="0.25">
      <c r="A27">
        <v>27</v>
      </c>
      <c r="B27" s="24" t="s">
        <v>205</v>
      </c>
      <c r="C27" s="43">
        <v>61020771305</v>
      </c>
      <c r="D27" s="55">
        <v>68850</v>
      </c>
      <c r="E27" s="56">
        <v>45879</v>
      </c>
      <c r="F27" s="57">
        <v>267.57</v>
      </c>
      <c r="G27" t="s">
        <v>282</v>
      </c>
      <c r="H27" t="s">
        <v>462</v>
      </c>
      <c r="I27" s="83">
        <v>45965</v>
      </c>
      <c r="J27" s="31" t="str">
        <f t="shared" si="0"/>
        <v>68850 45879</v>
      </c>
    </row>
    <row r="28" spans="1:10" x14ac:dyDescent="0.25">
      <c r="A28">
        <v>28</v>
      </c>
      <c r="B28" s="24" t="s">
        <v>205</v>
      </c>
      <c r="C28" s="43">
        <v>61027421253</v>
      </c>
      <c r="D28" s="55">
        <v>43631</v>
      </c>
      <c r="E28" s="56">
        <v>45879</v>
      </c>
      <c r="F28" s="57">
        <v>573.84</v>
      </c>
      <c r="G28" t="s">
        <v>282</v>
      </c>
      <c r="H28" t="s">
        <v>462</v>
      </c>
      <c r="I28" s="83">
        <v>45965</v>
      </c>
      <c r="J28" s="31" t="str">
        <f t="shared" si="0"/>
        <v>43631 45879</v>
      </c>
    </row>
    <row r="29" spans="1:10" x14ac:dyDescent="0.25">
      <c r="A29">
        <v>29</v>
      </c>
      <c r="B29" s="24" t="s">
        <v>205</v>
      </c>
      <c r="C29" s="43">
        <v>61254816380</v>
      </c>
      <c r="D29" s="55">
        <v>69220</v>
      </c>
      <c r="E29" s="56">
        <v>45858</v>
      </c>
      <c r="F29" s="57">
        <v>348.43</v>
      </c>
      <c r="G29" t="s">
        <v>282</v>
      </c>
      <c r="H29" t="s">
        <v>462</v>
      </c>
      <c r="I29" s="83">
        <v>45965</v>
      </c>
      <c r="J29" s="31" t="str">
        <f t="shared" si="0"/>
        <v>69220 45858</v>
      </c>
    </row>
    <row r="30" spans="1:10" x14ac:dyDescent="0.25">
      <c r="A30">
        <v>30</v>
      </c>
      <c r="B30" s="24" t="s">
        <v>205</v>
      </c>
      <c r="C30" s="43">
        <v>61521286337</v>
      </c>
      <c r="D30" s="55">
        <v>70731</v>
      </c>
      <c r="E30" s="56">
        <v>45828</v>
      </c>
      <c r="F30" s="57">
        <v>271.41000000000003</v>
      </c>
      <c r="G30" t="s">
        <v>282</v>
      </c>
      <c r="H30" t="s">
        <v>462</v>
      </c>
      <c r="I30" s="83">
        <v>45965</v>
      </c>
      <c r="J30" s="31" t="str">
        <f t="shared" si="0"/>
        <v>70731 45828</v>
      </c>
    </row>
    <row r="31" spans="1:10" x14ac:dyDescent="0.25">
      <c r="A31">
        <v>31</v>
      </c>
      <c r="B31" s="24" t="s">
        <v>205</v>
      </c>
      <c r="C31" s="43">
        <v>61521286337</v>
      </c>
      <c r="D31" s="55">
        <v>70731</v>
      </c>
      <c r="E31" s="56">
        <v>45858</v>
      </c>
      <c r="F31" s="57">
        <v>72.400000000000006</v>
      </c>
      <c r="G31" t="s">
        <v>282</v>
      </c>
      <c r="H31" t="s">
        <v>462</v>
      </c>
      <c r="I31" s="83">
        <v>45965</v>
      </c>
      <c r="J31" s="31" t="str">
        <f t="shared" si="0"/>
        <v>70731 45858</v>
      </c>
    </row>
    <row r="32" spans="1:10" x14ac:dyDescent="0.25">
      <c r="A32">
        <v>32</v>
      </c>
      <c r="B32" s="24" t="s">
        <v>205</v>
      </c>
      <c r="C32" s="43">
        <v>61950866300</v>
      </c>
      <c r="D32" s="55">
        <v>33588</v>
      </c>
      <c r="E32" s="56">
        <v>45863</v>
      </c>
      <c r="F32" s="57">
        <v>201.11</v>
      </c>
      <c r="G32" t="s">
        <v>282</v>
      </c>
      <c r="H32" t="s">
        <v>462</v>
      </c>
      <c r="I32" s="83">
        <v>45965</v>
      </c>
      <c r="J32" s="31" t="str">
        <f t="shared" si="0"/>
        <v>33588 45863</v>
      </c>
    </row>
    <row r="33" spans="1:10" x14ac:dyDescent="0.25">
      <c r="A33">
        <v>33</v>
      </c>
      <c r="B33" s="24" t="s">
        <v>205</v>
      </c>
      <c r="C33" s="43">
        <v>62019344300</v>
      </c>
      <c r="D33" s="55">
        <v>71439</v>
      </c>
      <c r="E33" s="56">
        <v>45879</v>
      </c>
      <c r="F33" s="57">
        <v>243.95</v>
      </c>
      <c r="G33" t="s">
        <v>282</v>
      </c>
      <c r="H33" t="s">
        <v>462</v>
      </c>
      <c r="I33" s="83">
        <v>45965</v>
      </c>
      <c r="J33" s="31" t="str">
        <f t="shared" si="0"/>
        <v>71439 45879</v>
      </c>
    </row>
    <row r="34" spans="1:10" x14ac:dyDescent="0.25">
      <c r="A34">
        <v>34</v>
      </c>
      <c r="B34" s="24" t="s">
        <v>205</v>
      </c>
      <c r="C34" s="43">
        <v>62141883326</v>
      </c>
      <c r="D34" s="55">
        <v>11026</v>
      </c>
      <c r="E34" s="56">
        <v>45868</v>
      </c>
      <c r="F34" s="57">
        <v>284.48</v>
      </c>
      <c r="G34" t="s">
        <v>282</v>
      </c>
      <c r="H34" t="s">
        <v>462</v>
      </c>
      <c r="I34" s="83">
        <v>45965</v>
      </c>
      <c r="J34" s="31" t="str">
        <f t="shared" si="0"/>
        <v>11026 45868</v>
      </c>
    </row>
    <row r="35" spans="1:10" x14ac:dyDescent="0.25">
      <c r="A35">
        <v>35</v>
      </c>
      <c r="B35" s="24" t="s">
        <v>205</v>
      </c>
      <c r="C35" s="43">
        <v>62145452320</v>
      </c>
      <c r="D35" s="55">
        <v>65290</v>
      </c>
      <c r="E35" s="56">
        <v>45868</v>
      </c>
      <c r="F35" s="57">
        <v>355.2</v>
      </c>
      <c r="G35" t="s">
        <v>282</v>
      </c>
      <c r="H35" t="s">
        <v>462</v>
      </c>
      <c r="I35" s="83">
        <v>45965</v>
      </c>
      <c r="J35" s="31" t="str">
        <f t="shared" si="0"/>
        <v>65290 45868</v>
      </c>
    </row>
    <row r="36" spans="1:10" x14ac:dyDescent="0.25">
      <c r="A36">
        <v>36</v>
      </c>
      <c r="B36" s="24" t="s">
        <v>205</v>
      </c>
      <c r="C36" s="43">
        <v>62145452320</v>
      </c>
      <c r="D36" s="55">
        <v>41655</v>
      </c>
      <c r="E36" s="56">
        <v>45879</v>
      </c>
      <c r="F36" s="57">
        <v>190.69</v>
      </c>
      <c r="G36" t="s">
        <v>282</v>
      </c>
      <c r="H36" t="s">
        <v>462</v>
      </c>
      <c r="I36" s="83">
        <v>45965</v>
      </c>
      <c r="J36" s="31" t="str">
        <f t="shared" si="0"/>
        <v>41655 45879</v>
      </c>
    </row>
    <row r="37" spans="1:10" x14ac:dyDescent="0.25">
      <c r="A37">
        <v>37</v>
      </c>
      <c r="B37" s="24" t="s">
        <v>205</v>
      </c>
      <c r="C37" s="43">
        <v>62357811307</v>
      </c>
      <c r="D37" s="55">
        <v>37152</v>
      </c>
      <c r="E37" s="56">
        <v>45879</v>
      </c>
      <c r="F37" s="57">
        <v>275.26</v>
      </c>
      <c r="G37" t="s">
        <v>282</v>
      </c>
      <c r="H37" t="s">
        <v>462</v>
      </c>
      <c r="I37" s="83">
        <v>45965</v>
      </c>
      <c r="J37" s="31" t="str">
        <f t="shared" si="0"/>
        <v>37152 45879</v>
      </c>
    </row>
    <row r="38" spans="1:10" x14ac:dyDescent="0.25">
      <c r="A38">
        <v>38</v>
      </c>
      <c r="B38" s="24" t="s">
        <v>205</v>
      </c>
      <c r="C38" s="43">
        <v>64020231320</v>
      </c>
      <c r="D38" s="55">
        <v>11639</v>
      </c>
      <c r="E38" s="56">
        <v>45879</v>
      </c>
      <c r="F38" s="57">
        <v>295.02</v>
      </c>
      <c r="G38" t="s">
        <v>282</v>
      </c>
      <c r="H38" t="s">
        <v>462</v>
      </c>
      <c r="I38" s="83">
        <v>45965</v>
      </c>
      <c r="J38" s="31" t="str">
        <f t="shared" si="0"/>
        <v>11639 45879</v>
      </c>
    </row>
    <row r="39" spans="1:10" x14ac:dyDescent="0.25">
      <c r="A39">
        <v>39</v>
      </c>
      <c r="B39" s="24" t="s">
        <v>205</v>
      </c>
      <c r="C39" s="43">
        <v>64359093349</v>
      </c>
      <c r="D39" s="55">
        <v>60113</v>
      </c>
      <c r="E39" s="56">
        <v>45879</v>
      </c>
      <c r="F39" s="57">
        <v>365.27</v>
      </c>
      <c r="G39" t="s">
        <v>282</v>
      </c>
      <c r="H39" t="s">
        <v>462</v>
      </c>
      <c r="I39" s="83">
        <v>45965</v>
      </c>
      <c r="J39" s="31" t="str">
        <f t="shared" si="0"/>
        <v>60113 45879</v>
      </c>
    </row>
    <row r="40" spans="1:10" x14ac:dyDescent="0.25">
      <c r="A40">
        <v>40</v>
      </c>
      <c r="B40" s="24" t="s">
        <v>205</v>
      </c>
      <c r="C40" s="43">
        <v>64496139391</v>
      </c>
      <c r="D40" s="55">
        <v>43493</v>
      </c>
      <c r="E40" s="56">
        <v>45838</v>
      </c>
      <c r="F40" s="57">
        <v>1751.73</v>
      </c>
      <c r="G40" t="s">
        <v>282</v>
      </c>
      <c r="H40" t="s">
        <v>118</v>
      </c>
      <c r="I40" s="32" t="s">
        <v>475</v>
      </c>
      <c r="J40" s="31" t="str">
        <f t="shared" si="0"/>
        <v>43493 45838</v>
      </c>
    </row>
    <row r="41" spans="1:10" x14ac:dyDescent="0.25">
      <c r="A41">
        <v>41</v>
      </c>
      <c r="B41" s="24" t="s">
        <v>205</v>
      </c>
      <c r="C41" s="43">
        <v>64496139391</v>
      </c>
      <c r="D41" s="55">
        <v>43493</v>
      </c>
      <c r="E41" s="56">
        <v>45868</v>
      </c>
      <c r="F41" s="57">
        <v>1751.73</v>
      </c>
      <c r="G41" t="s">
        <v>282</v>
      </c>
      <c r="H41" t="s">
        <v>118</v>
      </c>
      <c r="I41" s="32" t="s">
        <v>475</v>
      </c>
      <c r="J41" s="31" t="str">
        <f t="shared" si="0"/>
        <v>43493 45868</v>
      </c>
    </row>
    <row r="42" spans="1:10" x14ac:dyDescent="0.25">
      <c r="A42">
        <v>42</v>
      </c>
      <c r="B42" s="24" t="s">
        <v>205</v>
      </c>
      <c r="C42" s="43">
        <v>64538346349</v>
      </c>
      <c r="D42" s="55">
        <v>49318</v>
      </c>
      <c r="E42" s="56">
        <v>45879</v>
      </c>
      <c r="F42" s="57">
        <v>284.58999999999997</v>
      </c>
      <c r="G42" t="s">
        <v>282</v>
      </c>
      <c r="H42" t="s">
        <v>462</v>
      </c>
      <c r="I42" s="83">
        <v>45965</v>
      </c>
      <c r="J42" s="31" t="str">
        <f t="shared" si="0"/>
        <v>49318 45879</v>
      </c>
    </row>
    <row r="43" spans="1:10" x14ac:dyDescent="0.25">
      <c r="A43">
        <v>43</v>
      </c>
      <c r="B43" s="24" t="s">
        <v>205</v>
      </c>
      <c r="C43" s="43">
        <v>64590917300</v>
      </c>
      <c r="D43" s="55">
        <v>42043</v>
      </c>
      <c r="E43" s="56">
        <v>45848</v>
      </c>
      <c r="F43" s="57">
        <v>217.14</v>
      </c>
      <c r="G43" t="s">
        <v>282</v>
      </c>
      <c r="H43" t="s">
        <v>462</v>
      </c>
      <c r="I43" s="83">
        <v>45965</v>
      </c>
      <c r="J43" s="31" t="str">
        <f t="shared" si="0"/>
        <v>42043 45848</v>
      </c>
    </row>
    <row r="44" spans="1:10" x14ac:dyDescent="0.25">
      <c r="A44">
        <v>44</v>
      </c>
      <c r="B44" s="24" t="s">
        <v>205</v>
      </c>
      <c r="C44" s="43">
        <v>64590917300</v>
      </c>
      <c r="D44" s="55">
        <v>45213</v>
      </c>
      <c r="E44" s="56">
        <v>45848</v>
      </c>
      <c r="F44" s="57">
        <v>279.17</v>
      </c>
      <c r="G44" t="s">
        <v>282</v>
      </c>
      <c r="H44" t="s">
        <v>462</v>
      </c>
      <c r="I44" s="83">
        <v>45965</v>
      </c>
      <c r="J44" s="31" t="str">
        <f t="shared" si="0"/>
        <v>45213 45848</v>
      </c>
    </row>
    <row r="45" spans="1:10" x14ac:dyDescent="0.25">
      <c r="A45">
        <v>45</v>
      </c>
      <c r="B45" s="24" t="s">
        <v>205</v>
      </c>
      <c r="C45" s="43">
        <v>64590917300</v>
      </c>
      <c r="D45" s="55">
        <v>42043</v>
      </c>
      <c r="E45" s="56">
        <v>45879</v>
      </c>
      <c r="F45" s="57">
        <v>205.4</v>
      </c>
      <c r="G45" t="s">
        <v>282</v>
      </c>
      <c r="H45" t="s">
        <v>462</v>
      </c>
      <c r="I45" s="83">
        <v>45965</v>
      </c>
      <c r="J45" s="31" t="str">
        <f t="shared" si="0"/>
        <v>42043 45879</v>
      </c>
    </row>
    <row r="46" spans="1:10" x14ac:dyDescent="0.25">
      <c r="A46">
        <v>46</v>
      </c>
      <c r="B46" s="24" t="s">
        <v>205</v>
      </c>
      <c r="C46" s="43">
        <v>64590917300</v>
      </c>
      <c r="D46" s="55">
        <v>45213</v>
      </c>
      <c r="E46" s="56">
        <v>45879</v>
      </c>
      <c r="F46" s="57">
        <v>264.08</v>
      </c>
      <c r="G46" t="s">
        <v>282</v>
      </c>
      <c r="H46" t="s">
        <v>462</v>
      </c>
      <c r="I46" s="83">
        <v>45965</v>
      </c>
      <c r="J46" s="31" t="str">
        <f t="shared" si="0"/>
        <v>45213 45879</v>
      </c>
    </row>
    <row r="47" spans="1:10" x14ac:dyDescent="0.25">
      <c r="A47">
        <v>47</v>
      </c>
      <c r="B47" s="24" t="s">
        <v>205</v>
      </c>
      <c r="C47" s="43">
        <v>64775526391</v>
      </c>
      <c r="D47" s="55">
        <v>61465</v>
      </c>
      <c r="E47" s="56">
        <v>45879</v>
      </c>
      <c r="F47" s="57">
        <v>272.39</v>
      </c>
      <c r="G47" t="s">
        <v>282</v>
      </c>
      <c r="H47" t="s">
        <v>462</v>
      </c>
      <c r="I47" s="83">
        <v>45965</v>
      </c>
      <c r="J47" s="31" t="str">
        <f t="shared" si="0"/>
        <v>61465 45879</v>
      </c>
    </row>
    <row r="48" spans="1:10" x14ac:dyDescent="0.25">
      <c r="A48">
        <v>48</v>
      </c>
      <c r="B48" s="24" t="s">
        <v>205</v>
      </c>
      <c r="C48" s="43">
        <v>65004558353</v>
      </c>
      <c r="D48" s="55">
        <v>11560</v>
      </c>
      <c r="E48" s="56">
        <v>45868</v>
      </c>
      <c r="F48" s="57">
        <v>1149.42</v>
      </c>
      <c r="G48" t="s">
        <v>282</v>
      </c>
      <c r="H48" t="s">
        <v>462</v>
      </c>
      <c r="I48" s="83">
        <v>45965</v>
      </c>
      <c r="J48" s="31" t="str">
        <f t="shared" si="0"/>
        <v>11560 45868</v>
      </c>
    </row>
    <row r="49" spans="1:10" x14ac:dyDescent="0.25">
      <c r="A49">
        <v>49</v>
      </c>
      <c r="B49" s="24" t="s">
        <v>205</v>
      </c>
      <c r="C49" s="43">
        <v>65059689387</v>
      </c>
      <c r="D49" s="55">
        <v>72428</v>
      </c>
      <c r="E49" s="58">
        <v>45646</v>
      </c>
      <c r="F49" s="57">
        <v>363.42</v>
      </c>
      <c r="G49" t="s">
        <v>282</v>
      </c>
      <c r="H49" t="s">
        <v>462</v>
      </c>
      <c r="I49" s="83">
        <v>45965</v>
      </c>
      <c r="J49" s="31" t="str">
        <f t="shared" si="0"/>
        <v>72428 45646</v>
      </c>
    </row>
    <row r="50" spans="1:10" x14ac:dyDescent="0.25">
      <c r="A50">
        <v>50</v>
      </c>
      <c r="B50" s="24" t="s">
        <v>205</v>
      </c>
      <c r="C50" s="43">
        <v>65059689387</v>
      </c>
      <c r="D50" s="55">
        <v>72428</v>
      </c>
      <c r="E50" s="58">
        <v>45677</v>
      </c>
      <c r="F50" s="57">
        <v>396.84</v>
      </c>
      <c r="G50" t="s">
        <v>282</v>
      </c>
      <c r="H50" t="s">
        <v>462</v>
      </c>
      <c r="I50" s="83">
        <v>45965</v>
      </c>
      <c r="J50" s="31" t="str">
        <f t="shared" si="0"/>
        <v>72428 45677</v>
      </c>
    </row>
    <row r="51" spans="1:10" x14ac:dyDescent="0.25">
      <c r="A51">
        <v>51</v>
      </c>
      <c r="B51" s="24" t="s">
        <v>205</v>
      </c>
      <c r="C51" s="43">
        <v>65059689387</v>
      </c>
      <c r="D51" s="55">
        <v>72428</v>
      </c>
      <c r="E51" s="58">
        <v>45708</v>
      </c>
      <c r="F51" s="57">
        <v>363.42</v>
      </c>
      <c r="G51" t="s">
        <v>282</v>
      </c>
      <c r="H51" t="s">
        <v>462</v>
      </c>
      <c r="I51" s="83">
        <v>45965</v>
      </c>
      <c r="J51" s="31" t="str">
        <f t="shared" si="0"/>
        <v>72428 45708</v>
      </c>
    </row>
    <row r="52" spans="1:10" x14ac:dyDescent="0.25">
      <c r="A52">
        <v>52</v>
      </c>
      <c r="B52" s="24" t="s">
        <v>205</v>
      </c>
      <c r="C52" s="43">
        <v>65059689387</v>
      </c>
      <c r="D52" s="55">
        <v>72428</v>
      </c>
      <c r="E52" s="56">
        <v>45736</v>
      </c>
      <c r="F52" s="57">
        <v>363.42</v>
      </c>
      <c r="G52" t="s">
        <v>282</v>
      </c>
      <c r="H52" t="s">
        <v>462</v>
      </c>
      <c r="I52" s="83">
        <v>45965</v>
      </c>
      <c r="J52" s="31" t="str">
        <f t="shared" si="0"/>
        <v>72428 45736</v>
      </c>
    </row>
    <row r="53" spans="1:10" x14ac:dyDescent="0.25">
      <c r="A53">
        <v>53</v>
      </c>
      <c r="B53" s="24" t="s">
        <v>205</v>
      </c>
      <c r="C53" s="43">
        <v>65059689387</v>
      </c>
      <c r="D53" s="55">
        <v>72428</v>
      </c>
      <c r="E53" s="56">
        <v>45767</v>
      </c>
      <c r="F53" s="57">
        <v>363.42</v>
      </c>
      <c r="G53" t="s">
        <v>282</v>
      </c>
      <c r="H53" t="s">
        <v>462</v>
      </c>
      <c r="I53" s="83">
        <v>45965</v>
      </c>
      <c r="J53" s="31" t="str">
        <f t="shared" si="0"/>
        <v>72428 45767</v>
      </c>
    </row>
    <row r="54" spans="1:10" x14ac:dyDescent="0.25">
      <c r="A54">
        <v>54</v>
      </c>
      <c r="B54" s="24" t="s">
        <v>205</v>
      </c>
      <c r="C54" s="43">
        <v>65059689387</v>
      </c>
      <c r="D54" s="55">
        <v>72428</v>
      </c>
      <c r="E54" s="56">
        <v>45797</v>
      </c>
      <c r="F54" s="57">
        <v>363.42</v>
      </c>
      <c r="G54" t="s">
        <v>282</v>
      </c>
      <c r="H54" t="s">
        <v>462</v>
      </c>
      <c r="I54" s="83">
        <v>45965</v>
      </c>
      <c r="J54" s="31" t="str">
        <f t="shared" si="0"/>
        <v>72428 45797</v>
      </c>
    </row>
    <row r="55" spans="1:10" x14ac:dyDescent="0.25">
      <c r="A55">
        <v>55</v>
      </c>
      <c r="B55" s="24" t="s">
        <v>205</v>
      </c>
      <c r="C55" s="43">
        <v>65059689387</v>
      </c>
      <c r="D55" s="55">
        <v>72428</v>
      </c>
      <c r="E55" s="56">
        <v>45828</v>
      </c>
      <c r="F55" s="57">
        <v>363.42</v>
      </c>
      <c r="G55" t="s">
        <v>282</v>
      </c>
      <c r="H55" t="s">
        <v>462</v>
      </c>
      <c r="I55" s="83">
        <v>45965</v>
      </c>
      <c r="J55" s="31" t="str">
        <f t="shared" si="0"/>
        <v>72428 45828</v>
      </c>
    </row>
    <row r="56" spans="1:10" x14ac:dyDescent="0.25">
      <c r="A56">
        <v>56</v>
      </c>
      <c r="B56" s="24" t="s">
        <v>205</v>
      </c>
      <c r="C56" s="43">
        <v>65059689387</v>
      </c>
      <c r="D56" s="55">
        <v>72428</v>
      </c>
      <c r="E56" s="56">
        <v>45858</v>
      </c>
      <c r="F56" s="57">
        <v>363.42</v>
      </c>
      <c r="G56" t="s">
        <v>282</v>
      </c>
      <c r="H56" t="s">
        <v>462</v>
      </c>
      <c r="I56" s="83">
        <v>45965</v>
      </c>
      <c r="J56" s="31" t="str">
        <f t="shared" si="0"/>
        <v>72428 45858</v>
      </c>
    </row>
    <row r="57" spans="1:10" x14ac:dyDescent="0.25">
      <c r="A57">
        <v>57</v>
      </c>
      <c r="B57" s="24" t="s">
        <v>205</v>
      </c>
      <c r="C57" s="43">
        <v>70443050325</v>
      </c>
      <c r="D57" s="55">
        <v>15233</v>
      </c>
      <c r="E57" s="56">
        <v>45863</v>
      </c>
      <c r="F57" s="57">
        <v>283.7</v>
      </c>
      <c r="G57" t="s">
        <v>282</v>
      </c>
      <c r="H57" t="s">
        <v>118</v>
      </c>
      <c r="I57" s="32" t="s">
        <v>475</v>
      </c>
      <c r="J57" s="31" t="str">
        <f t="shared" si="0"/>
        <v>15233 45863</v>
      </c>
    </row>
    <row r="58" spans="1:10" x14ac:dyDescent="0.25">
      <c r="A58">
        <v>58</v>
      </c>
      <c r="B58" s="24" t="s">
        <v>205</v>
      </c>
      <c r="C58" s="43">
        <v>72306750300</v>
      </c>
      <c r="D58" s="55">
        <v>67402</v>
      </c>
      <c r="E58" s="56">
        <v>45868</v>
      </c>
      <c r="F58" s="57">
        <v>231.56</v>
      </c>
      <c r="G58" t="s">
        <v>282</v>
      </c>
      <c r="H58" t="s">
        <v>462</v>
      </c>
      <c r="I58" s="83">
        <v>45965</v>
      </c>
      <c r="J58" s="31" t="str">
        <f t="shared" si="0"/>
        <v>67402 45868</v>
      </c>
    </row>
    <row r="59" spans="1:10" x14ac:dyDescent="0.25">
      <c r="A59">
        <v>59</v>
      </c>
      <c r="B59" s="24" t="s">
        <v>205</v>
      </c>
      <c r="C59" s="43">
        <v>73098302372</v>
      </c>
      <c r="D59" s="55">
        <v>50243</v>
      </c>
      <c r="E59" s="56">
        <v>45879</v>
      </c>
      <c r="F59" s="57">
        <v>456.39</v>
      </c>
      <c r="G59" t="s">
        <v>282</v>
      </c>
      <c r="H59" t="s">
        <v>462</v>
      </c>
      <c r="I59" s="83">
        <v>45965</v>
      </c>
      <c r="J59" s="31" t="str">
        <f t="shared" si="0"/>
        <v>50243 45879</v>
      </c>
    </row>
    <row r="60" spans="1:10" x14ac:dyDescent="0.25">
      <c r="A60">
        <v>60</v>
      </c>
      <c r="B60" s="24" t="s">
        <v>205</v>
      </c>
      <c r="C60" s="43">
        <v>74205650663</v>
      </c>
      <c r="D60" s="55">
        <v>27937</v>
      </c>
      <c r="E60" s="56">
        <v>45879</v>
      </c>
      <c r="F60" s="57">
        <v>1466.59</v>
      </c>
      <c r="G60" t="s">
        <v>282</v>
      </c>
      <c r="H60" t="s">
        <v>462</v>
      </c>
      <c r="I60" s="83">
        <v>45965</v>
      </c>
      <c r="J60" s="31" t="str">
        <f t="shared" si="0"/>
        <v>27937 45879</v>
      </c>
    </row>
    <row r="61" spans="1:10" x14ac:dyDescent="0.25">
      <c r="A61">
        <v>61</v>
      </c>
      <c r="B61" s="24" t="s">
        <v>205</v>
      </c>
      <c r="C61" s="43">
        <v>74257587334</v>
      </c>
      <c r="D61" s="55">
        <v>15019</v>
      </c>
      <c r="E61" s="56">
        <v>45879</v>
      </c>
      <c r="F61" s="57">
        <v>1353.47</v>
      </c>
      <c r="G61" t="s">
        <v>282</v>
      </c>
      <c r="H61" t="s">
        <v>462</v>
      </c>
      <c r="I61" s="83">
        <v>45965</v>
      </c>
      <c r="J61" s="31" t="str">
        <f t="shared" si="0"/>
        <v>15019 45879</v>
      </c>
    </row>
    <row r="62" spans="1:10" x14ac:dyDescent="0.25">
      <c r="A62">
        <v>62</v>
      </c>
      <c r="B62" s="24" t="s">
        <v>205</v>
      </c>
      <c r="C62" s="43">
        <v>74692615320</v>
      </c>
      <c r="D62" s="55">
        <v>63321</v>
      </c>
      <c r="E62" s="56">
        <v>45879</v>
      </c>
      <c r="F62" s="57">
        <v>321.64</v>
      </c>
      <c r="G62" t="s">
        <v>282</v>
      </c>
      <c r="H62" t="s">
        <v>462</v>
      </c>
      <c r="I62" s="83">
        <v>45965</v>
      </c>
      <c r="J62" s="31" t="str">
        <f t="shared" si="0"/>
        <v>63321 45879</v>
      </c>
    </row>
    <row r="63" spans="1:10" x14ac:dyDescent="0.25">
      <c r="A63">
        <v>63</v>
      </c>
      <c r="B63" s="24" t="s">
        <v>205</v>
      </c>
      <c r="C63" s="43">
        <v>75161028300</v>
      </c>
      <c r="D63" s="55">
        <v>66322</v>
      </c>
      <c r="E63" s="56">
        <v>45879</v>
      </c>
      <c r="F63" s="57">
        <v>850.59</v>
      </c>
      <c r="G63" t="s">
        <v>282</v>
      </c>
      <c r="H63" t="s">
        <v>462</v>
      </c>
      <c r="I63" s="83">
        <v>45965</v>
      </c>
      <c r="J63" s="31" t="str">
        <f t="shared" si="0"/>
        <v>66322 45879</v>
      </c>
    </row>
    <row r="64" spans="1:10" x14ac:dyDescent="0.25">
      <c r="A64">
        <v>64</v>
      </c>
      <c r="B64" s="24" t="s">
        <v>205</v>
      </c>
      <c r="C64" s="43">
        <v>75608898320</v>
      </c>
      <c r="D64" s="55">
        <v>59139</v>
      </c>
      <c r="E64" s="56">
        <v>45858</v>
      </c>
      <c r="F64" s="57">
        <v>293.97000000000003</v>
      </c>
      <c r="G64" t="s">
        <v>282</v>
      </c>
      <c r="H64" t="s">
        <v>118</v>
      </c>
      <c r="I64" s="32" t="s">
        <v>475</v>
      </c>
      <c r="J64" s="31" t="str">
        <f t="shared" si="0"/>
        <v>59139 45858</v>
      </c>
    </row>
    <row r="65" spans="1:10" x14ac:dyDescent="0.25">
      <c r="A65">
        <v>65</v>
      </c>
      <c r="B65" s="24" t="s">
        <v>205</v>
      </c>
      <c r="C65" s="43">
        <v>75898128204</v>
      </c>
      <c r="D65" s="55">
        <v>1338</v>
      </c>
      <c r="E65" s="56">
        <v>45868</v>
      </c>
      <c r="F65" s="57">
        <v>154.65</v>
      </c>
      <c r="G65" t="s">
        <v>282</v>
      </c>
      <c r="H65" t="s">
        <v>462</v>
      </c>
      <c r="I65" s="83">
        <v>45965</v>
      </c>
      <c r="J65" s="31" t="str">
        <f t="shared" si="0"/>
        <v>1338 45868</v>
      </c>
    </row>
    <row r="66" spans="1:10" x14ac:dyDescent="0.25">
      <c r="A66">
        <v>66</v>
      </c>
      <c r="B66" s="24" t="s">
        <v>205</v>
      </c>
      <c r="C66" s="43">
        <v>79949789320</v>
      </c>
      <c r="D66" s="55">
        <v>37914</v>
      </c>
      <c r="E66" s="56">
        <v>45879</v>
      </c>
      <c r="F66" s="57">
        <v>268.54000000000002</v>
      </c>
      <c r="G66" t="s">
        <v>282</v>
      </c>
      <c r="H66" t="s">
        <v>462</v>
      </c>
      <c r="I66" s="83">
        <v>45965</v>
      </c>
      <c r="J66" s="31" t="str">
        <f t="shared" ref="J66:J129" si="1">_xlfn.CONCAT(D66," ",E66)</f>
        <v>37914 45879</v>
      </c>
    </row>
    <row r="67" spans="1:10" x14ac:dyDescent="0.25">
      <c r="A67">
        <v>67</v>
      </c>
      <c r="B67" s="24" t="s">
        <v>205</v>
      </c>
      <c r="C67" s="43">
        <v>81297904320</v>
      </c>
      <c r="D67" s="55">
        <v>61345</v>
      </c>
      <c r="E67" s="56">
        <v>45879</v>
      </c>
      <c r="F67" s="57">
        <v>313.68</v>
      </c>
      <c r="G67" t="s">
        <v>282</v>
      </c>
      <c r="H67" t="s">
        <v>462</v>
      </c>
      <c r="I67" s="83">
        <v>45965</v>
      </c>
      <c r="J67" s="31" t="str">
        <f t="shared" si="1"/>
        <v>61345 45879</v>
      </c>
    </row>
    <row r="68" spans="1:10" x14ac:dyDescent="0.25">
      <c r="A68">
        <v>68</v>
      </c>
      <c r="B68" s="24" t="s">
        <v>205</v>
      </c>
      <c r="C68" s="43">
        <v>81610858115</v>
      </c>
      <c r="D68" s="55">
        <v>42267</v>
      </c>
      <c r="E68" s="56">
        <v>45879</v>
      </c>
      <c r="F68" s="57">
        <v>570.76</v>
      </c>
      <c r="G68" t="s">
        <v>282</v>
      </c>
      <c r="H68" t="s">
        <v>462</v>
      </c>
      <c r="I68" s="83">
        <v>45965</v>
      </c>
      <c r="J68" s="31" t="str">
        <f t="shared" si="1"/>
        <v>42267 45879</v>
      </c>
    </row>
    <row r="69" spans="1:10" x14ac:dyDescent="0.25">
      <c r="A69">
        <v>69</v>
      </c>
      <c r="B69" s="24" t="s">
        <v>205</v>
      </c>
      <c r="C69" s="43">
        <v>83737669368</v>
      </c>
      <c r="D69" s="55">
        <v>67265</v>
      </c>
      <c r="E69" s="56">
        <v>45879</v>
      </c>
      <c r="F69" s="57">
        <v>222.71</v>
      </c>
      <c r="G69" t="s">
        <v>282</v>
      </c>
      <c r="H69" t="s">
        <v>462</v>
      </c>
      <c r="I69" s="83">
        <v>45965</v>
      </c>
      <c r="J69" s="31" t="str">
        <f t="shared" si="1"/>
        <v>67265 45879</v>
      </c>
    </row>
    <row r="70" spans="1:10" x14ac:dyDescent="0.25">
      <c r="A70">
        <v>70</v>
      </c>
      <c r="B70" s="24" t="s">
        <v>205</v>
      </c>
      <c r="C70" s="43">
        <v>83737669368</v>
      </c>
      <c r="D70" s="55">
        <v>67266</v>
      </c>
      <c r="E70" s="56">
        <v>45879</v>
      </c>
      <c r="F70" s="57">
        <v>254.21</v>
      </c>
      <c r="G70" t="s">
        <v>282</v>
      </c>
      <c r="H70" t="s">
        <v>462</v>
      </c>
      <c r="I70" s="83">
        <v>45965</v>
      </c>
      <c r="J70" s="31" t="str">
        <f t="shared" si="1"/>
        <v>67266 45879</v>
      </c>
    </row>
    <row r="71" spans="1:10" x14ac:dyDescent="0.25">
      <c r="A71">
        <v>71</v>
      </c>
      <c r="B71" s="24" t="s">
        <v>205</v>
      </c>
      <c r="C71" s="43">
        <v>84046821353</v>
      </c>
      <c r="D71" s="55">
        <v>48121</v>
      </c>
      <c r="E71" s="56">
        <v>45858</v>
      </c>
      <c r="F71" s="57">
        <v>225.34</v>
      </c>
      <c r="G71" t="s">
        <v>282</v>
      </c>
      <c r="H71" t="s">
        <v>462</v>
      </c>
      <c r="I71" s="83">
        <v>45965</v>
      </c>
      <c r="J71" s="31" t="str">
        <f t="shared" si="1"/>
        <v>48121 45858</v>
      </c>
    </row>
    <row r="72" spans="1:10" x14ac:dyDescent="0.25">
      <c r="A72">
        <v>72</v>
      </c>
      <c r="B72" s="24" t="s">
        <v>205</v>
      </c>
      <c r="C72" s="43">
        <v>85033928368</v>
      </c>
      <c r="D72" s="55">
        <v>22938</v>
      </c>
      <c r="E72" s="56">
        <v>45828</v>
      </c>
      <c r="F72" s="57">
        <v>873.38</v>
      </c>
      <c r="G72" t="s">
        <v>282</v>
      </c>
      <c r="H72" t="s">
        <v>462</v>
      </c>
      <c r="I72" s="83">
        <v>45965</v>
      </c>
      <c r="J72" s="31" t="str">
        <f t="shared" si="1"/>
        <v>22938 45828</v>
      </c>
    </row>
    <row r="73" spans="1:10" x14ac:dyDescent="0.25">
      <c r="A73">
        <v>73</v>
      </c>
      <c r="B73" s="24" t="s">
        <v>205</v>
      </c>
      <c r="C73" s="43">
        <v>85033928368</v>
      </c>
      <c r="D73" s="55">
        <v>22938</v>
      </c>
      <c r="E73" s="56">
        <v>45858</v>
      </c>
      <c r="F73" s="57">
        <v>926.31</v>
      </c>
      <c r="G73" t="s">
        <v>282</v>
      </c>
      <c r="H73" t="s">
        <v>462</v>
      </c>
      <c r="I73" s="83">
        <v>45965</v>
      </c>
      <c r="J73" s="31" t="str">
        <f t="shared" si="1"/>
        <v>22938 45858</v>
      </c>
    </row>
    <row r="74" spans="1:10" x14ac:dyDescent="0.25">
      <c r="A74">
        <v>74</v>
      </c>
      <c r="B74" s="24" t="s">
        <v>205</v>
      </c>
      <c r="C74" s="43">
        <v>85902438349</v>
      </c>
      <c r="D74" s="55">
        <v>68049</v>
      </c>
      <c r="E74" s="56">
        <v>45879</v>
      </c>
      <c r="F74" s="57">
        <v>246.9</v>
      </c>
      <c r="G74" t="s">
        <v>282</v>
      </c>
      <c r="H74" t="s">
        <v>462</v>
      </c>
      <c r="I74" s="83">
        <v>45965</v>
      </c>
      <c r="J74" s="31" t="str">
        <f t="shared" si="1"/>
        <v>68049 45879</v>
      </c>
    </row>
    <row r="75" spans="1:10" x14ac:dyDescent="0.25">
      <c r="A75">
        <v>75</v>
      </c>
      <c r="B75" s="24" t="s">
        <v>205</v>
      </c>
      <c r="C75" s="43">
        <v>86526952291</v>
      </c>
      <c r="D75" s="55">
        <v>71388</v>
      </c>
      <c r="E75" s="56">
        <v>45838</v>
      </c>
      <c r="F75" s="57">
        <v>817.2</v>
      </c>
      <c r="G75" t="s">
        <v>282</v>
      </c>
      <c r="H75" t="s">
        <v>462</v>
      </c>
      <c r="I75" s="83">
        <v>45965</v>
      </c>
      <c r="J75" s="31" t="str">
        <f t="shared" si="1"/>
        <v>71388 45838</v>
      </c>
    </row>
    <row r="76" spans="1:10" x14ac:dyDescent="0.25">
      <c r="A76">
        <v>76</v>
      </c>
      <c r="B76" s="24" t="s">
        <v>205</v>
      </c>
      <c r="C76" s="43">
        <v>90074343300</v>
      </c>
      <c r="D76" s="55">
        <v>29109</v>
      </c>
      <c r="E76" s="56">
        <v>45863</v>
      </c>
      <c r="F76" s="57">
        <v>243.24</v>
      </c>
      <c r="G76" t="s">
        <v>282</v>
      </c>
      <c r="H76" t="s">
        <v>462</v>
      </c>
      <c r="I76" s="83">
        <v>45965</v>
      </c>
      <c r="J76" s="31" t="str">
        <f t="shared" si="1"/>
        <v>29109 45863</v>
      </c>
    </row>
    <row r="77" spans="1:10" x14ac:dyDescent="0.25">
      <c r="A77">
        <v>77</v>
      </c>
      <c r="B77" s="24" t="s">
        <v>205</v>
      </c>
      <c r="C77" s="43">
        <v>90078888387</v>
      </c>
      <c r="D77" s="55">
        <v>42268</v>
      </c>
      <c r="E77" s="56">
        <v>45879</v>
      </c>
      <c r="F77" s="57">
        <v>351.8</v>
      </c>
      <c r="G77" t="s">
        <v>282</v>
      </c>
      <c r="H77" t="s">
        <v>462</v>
      </c>
      <c r="I77" s="83">
        <v>45965</v>
      </c>
      <c r="J77" s="31" t="str">
        <f t="shared" si="1"/>
        <v>42268 45879</v>
      </c>
    </row>
    <row r="78" spans="1:10" x14ac:dyDescent="0.25">
      <c r="A78">
        <v>78</v>
      </c>
      <c r="B78" s="24" t="s">
        <v>205</v>
      </c>
      <c r="C78" s="43">
        <v>91845980344</v>
      </c>
      <c r="D78" s="55">
        <v>65585</v>
      </c>
      <c r="E78" s="56">
        <v>45879</v>
      </c>
      <c r="F78" s="57">
        <v>883.96</v>
      </c>
      <c r="G78" t="s">
        <v>282</v>
      </c>
      <c r="H78" t="s">
        <v>462</v>
      </c>
      <c r="I78" s="83">
        <v>45965</v>
      </c>
      <c r="J78" s="31" t="str">
        <f t="shared" si="1"/>
        <v>65585 45879</v>
      </c>
    </row>
    <row r="79" spans="1:10" x14ac:dyDescent="0.25">
      <c r="A79">
        <v>79</v>
      </c>
      <c r="B79" s="24" t="s">
        <v>205</v>
      </c>
      <c r="C79" s="43">
        <v>92428525387</v>
      </c>
      <c r="D79" s="55">
        <v>66569</v>
      </c>
      <c r="E79" s="56">
        <v>45879</v>
      </c>
      <c r="F79" s="57">
        <v>244.6</v>
      </c>
      <c r="G79" t="s">
        <v>282</v>
      </c>
      <c r="H79" t="s">
        <v>462</v>
      </c>
      <c r="I79" s="83">
        <v>45965</v>
      </c>
      <c r="J79" s="31" t="str">
        <f t="shared" si="1"/>
        <v>66569 45879</v>
      </c>
    </row>
    <row r="80" spans="1:10" x14ac:dyDescent="0.25">
      <c r="A80">
        <v>80</v>
      </c>
      <c r="B80" s="24" t="s">
        <v>205</v>
      </c>
      <c r="C80" s="43">
        <v>92567444300</v>
      </c>
      <c r="D80" s="55">
        <v>64915</v>
      </c>
      <c r="E80" s="56">
        <v>45879</v>
      </c>
      <c r="F80" s="57">
        <v>343.91</v>
      </c>
      <c r="G80" t="s">
        <v>282</v>
      </c>
      <c r="H80" t="s">
        <v>462</v>
      </c>
      <c r="I80" s="83">
        <v>45965</v>
      </c>
      <c r="J80" s="31" t="str">
        <f t="shared" si="1"/>
        <v>64915 45879</v>
      </c>
    </row>
    <row r="81" spans="1:10" x14ac:dyDescent="0.25">
      <c r="A81">
        <v>81</v>
      </c>
      <c r="B81" s="24" t="s">
        <v>205</v>
      </c>
      <c r="C81" s="43">
        <v>93510500334</v>
      </c>
      <c r="D81" s="55">
        <v>69144</v>
      </c>
      <c r="E81" s="56">
        <v>45879</v>
      </c>
      <c r="F81" s="57">
        <v>244.27</v>
      </c>
      <c r="G81" t="s">
        <v>282</v>
      </c>
      <c r="H81" t="s">
        <v>462</v>
      </c>
      <c r="I81" s="83">
        <v>45965</v>
      </c>
      <c r="J81" s="31" t="str">
        <f t="shared" si="1"/>
        <v>69144 45879</v>
      </c>
    </row>
    <row r="82" spans="1:10" x14ac:dyDescent="0.25">
      <c r="A82">
        <v>82</v>
      </c>
      <c r="B82" s="24" t="s">
        <v>205</v>
      </c>
      <c r="C82" s="43">
        <v>94666164391</v>
      </c>
      <c r="D82" s="55">
        <v>56716</v>
      </c>
      <c r="E82" s="56">
        <v>45879</v>
      </c>
      <c r="F82" s="57">
        <v>352.08</v>
      </c>
      <c r="G82" t="s">
        <v>282</v>
      </c>
      <c r="H82" t="s">
        <v>462</v>
      </c>
      <c r="I82" s="83">
        <v>45965</v>
      </c>
      <c r="J82" s="31" t="str">
        <f t="shared" si="1"/>
        <v>56716 45879</v>
      </c>
    </row>
    <row r="83" spans="1:10" x14ac:dyDescent="0.25">
      <c r="A83">
        <v>83</v>
      </c>
      <c r="B83" s="24" t="s">
        <v>205</v>
      </c>
      <c r="C83" s="43">
        <v>96482079172</v>
      </c>
      <c r="D83" s="55">
        <v>68817</v>
      </c>
      <c r="E83" s="56">
        <v>45879</v>
      </c>
      <c r="F83" s="57">
        <v>293.01</v>
      </c>
      <c r="G83" t="s">
        <v>282</v>
      </c>
      <c r="H83" t="s">
        <v>462</v>
      </c>
      <c r="I83" s="83">
        <v>45965</v>
      </c>
      <c r="J83" s="31" t="str">
        <f t="shared" si="1"/>
        <v>68817 45879</v>
      </c>
    </row>
    <row r="84" spans="1:10" x14ac:dyDescent="0.25">
      <c r="A84">
        <v>84</v>
      </c>
      <c r="B84" s="24" t="s">
        <v>205</v>
      </c>
      <c r="C84" s="43">
        <v>96583630320</v>
      </c>
      <c r="D84" s="55">
        <v>71698</v>
      </c>
      <c r="E84" s="56">
        <v>45787</v>
      </c>
      <c r="F84" s="57">
        <v>381.37</v>
      </c>
      <c r="G84" t="s">
        <v>282</v>
      </c>
      <c r="H84" t="s">
        <v>462</v>
      </c>
      <c r="I84" s="83">
        <v>45965</v>
      </c>
      <c r="J84" s="31" t="str">
        <f t="shared" si="1"/>
        <v>71698 45787</v>
      </c>
    </row>
    <row r="85" spans="1:10" x14ac:dyDescent="0.25">
      <c r="A85">
        <v>85</v>
      </c>
      <c r="B85" s="24" t="s">
        <v>205</v>
      </c>
      <c r="C85" s="43">
        <v>97577324353</v>
      </c>
      <c r="D85" s="55">
        <v>46798</v>
      </c>
      <c r="E85" s="56">
        <v>45777</v>
      </c>
      <c r="F85" s="57">
        <v>489.95</v>
      </c>
      <c r="G85" t="s">
        <v>282</v>
      </c>
      <c r="H85" t="s">
        <v>118</v>
      </c>
      <c r="I85" s="32" t="s">
        <v>475</v>
      </c>
      <c r="J85" s="31" t="str">
        <f t="shared" si="1"/>
        <v>46798 45777</v>
      </c>
    </row>
    <row r="86" spans="1:10" x14ac:dyDescent="0.25">
      <c r="A86">
        <v>86</v>
      </c>
      <c r="B86" s="24" t="s">
        <v>205</v>
      </c>
      <c r="C86" s="43">
        <v>98858637372</v>
      </c>
      <c r="D86" s="55">
        <v>37652</v>
      </c>
      <c r="E86" s="56">
        <v>45858</v>
      </c>
      <c r="F86" s="57">
        <v>260.11</v>
      </c>
      <c r="G86" t="s">
        <v>282</v>
      </c>
      <c r="H86" t="s">
        <v>462</v>
      </c>
      <c r="I86" s="83">
        <v>45965</v>
      </c>
      <c r="J86" s="31" t="str">
        <f t="shared" si="1"/>
        <v>37652 45858</v>
      </c>
    </row>
    <row r="87" spans="1:10" x14ac:dyDescent="0.25">
      <c r="A87">
        <v>87</v>
      </c>
      <c r="B87" s="24" t="s">
        <v>205</v>
      </c>
      <c r="C87" s="43">
        <v>99436639287</v>
      </c>
      <c r="D87" s="55">
        <v>62476</v>
      </c>
      <c r="E87" s="56">
        <v>45858</v>
      </c>
      <c r="F87" s="57">
        <v>464.09</v>
      </c>
      <c r="G87" t="s">
        <v>282</v>
      </c>
      <c r="H87" t="s">
        <v>462</v>
      </c>
      <c r="I87" s="83">
        <v>45965</v>
      </c>
      <c r="J87" s="31" t="str">
        <f t="shared" si="1"/>
        <v>62476 45858</v>
      </c>
    </row>
    <row r="88" spans="1:10" x14ac:dyDescent="0.25">
      <c r="A88">
        <v>88</v>
      </c>
      <c r="B88" s="24" t="s">
        <v>205</v>
      </c>
      <c r="C88" s="43" t="s">
        <v>140</v>
      </c>
      <c r="D88" s="55">
        <v>71884</v>
      </c>
      <c r="E88" s="56">
        <v>45858</v>
      </c>
      <c r="F88" s="57">
        <v>249.16</v>
      </c>
      <c r="G88" t="s">
        <v>282</v>
      </c>
      <c r="H88" t="s">
        <v>462</v>
      </c>
      <c r="I88" s="83">
        <v>45965</v>
      </c>
      <c r="J88" s="31" t="str">
        <f t="shared" si="1"/>
        <v>71884 45858</v>
      </c>
    </row>
    <row r="89" spans="1:10" x14ac:dyDescent="0.25">
      <c r="A89">
        <v>89</v>
      </c>
      <c r="B89" s="24" t="s">
        <v>205</v>
      </c>
      <c r="C89" s="43" t="s">
        <v>141</v>
      </c>
      <c r="D89" s="55">
        <v>59022</v>
      </c>
      <c r="E89" s="56">
        <v>45818</v>
      </c>
      <c r="F89" s="57">
        <v>474.23</v>
      </c>
      <c r="G89" t="s">
        <v>282</v>
      </c>
      <c r="H89" t="s">
        <v>462</v>
      </c>
      <c r="I89" s="83">
        <v>45965</v>
      </c>
      <c r="J89" s="31" t="str">
        <f t="shared" si="1"/>
        <v>59022 45818</v>
      </c>
    </row>
    <row r="90" spans="1:10" x14ac:dyDescent="0.25">
      <c r="A90">
        <v>90</v>
      </c>
      <c r="B90" s="24" t="s">
        <v>205</v>
      </c>
      <c r="C90" s="43" t="s">
        <v>141</v>
      </c>
      <c r="D90" s="55">
        <v>59022</v>
      </c>
      <c r="E90" s="56">
        <v>45848</v>
      </c>
      <c r="F90" s="57">
        <v>474.23</v>
      </c>
      <c r="G90" t="s">
        <v>282</v>
      </c>
      <c r="H90" t="s">
        <v>462</v>
      </c>
      <c r="I90" s="83">
        <v>45965</v>
      </c>
      <c r="J90" s="31" t="str">
        <f t="shared" si="1"/>
        <v>59022 45848</v>
      </c>
    </row>
    <row r="91" spans="1:10" x14ac:dyDescent="0.25">
      <c r="A91">
        <v>91</v>
      </c>
      <c r="B91" s="24" t="s">
        <v>205</v>
      </c>
      <c r="C91" s="43" t="s">
        <v>141</v>
      </c>
      <c r="D91" s="55">
        <v>59022</v>
      </c>
      <c r="E91" s="56">
        <v>45879</v>
      </c>
      <c r="F91" s="57">
        <v>502.97</v>
      </c>
      <c r="G91" t="s">
        <v>282</v>
      </c>
      <c r="H91" t="s">
        <v>462</v>
      </c>
      <c r="I91" s="83">
        <v>45965</v>
      </c>
      <c r="J91" s="31" t="str">
        <f t="shared" si="1"/>
        <v>59022 45879</v>
      </c>
    </row>
    <row r="92" spans="1:10" x14ac:dyDescent="0.25">
      <c r="A92">
        <v>92</v>
      </c>
      <c r="B92" s="24" t="s">
        <v>205</v>
      </c>
      <c r="C92" s="43" t="s">
        <v>142</v>
      </c>
      <c r="D92" s="55">
        <v>45348</v>
      </c>
      <c r="E92" s="56">
        <v>45868</v>
      </c>
      <c r="F92" s="57">
        <v>264.08</v>
      </c>
      <c r="G92" t="s">
        <v>282</v>
      </c>
      <c r="H92" t="s">
        <v>462</v>
      </c>
      <c r="I92" s="83">
        <v>45965</v>
      </c>
      <c r="J92" s="31" t="str">
        <f t="shared" si="1"/>
        <v>45348 45868</v>
      </c>
    </row>
    <row r="93" spans="1:10" x14ac:dyDescent="0.25">
      <c r="A93">
        <v>93</v>
      </c>
      <c r="B93" s="24" t="s">
        <v>205</v>
      </c>
      <c r="C93" s="43" t="s">
        <v>143</v>
      </c>
      <c r="D93" s="55">
        <v>40341</v>
      </c>
      <c r="E93" s="56">
        <v>45863</v>
      </c>
      <c r="F93" s="57">
        <v>338.24</v>
      </c>
      <c r="G93" t="s">
        <v>282</v>
      </c>
      <c r="H93" t="s">
        <v>118</v>
      </c>
      <c r="I93" s="32" t="s">
        <v>475</v>
      </c>
      <c r="J93" s="31" t="str">
        <f t="shared" si="1"/>
        <v>40341 45863</v>
      </c>
    </row>
    <row r="94" spans="1:10" x14ac:dyDescent="0.25">
      <c r="A94">
        <v>94</v>
      </c>
      <c r="B94" s="24" t="s">
        <v>205</v>
      </c>
      <c r="C94" s="43" t="s">
        <v>144</v>
      </c>
      <c r="D94" s="55">
        <v>58486</v>
      </c>
      <c r="E94" s="56">
        <v>45848</v>
      </c>
      <c r="F94" s="57">
        <v>290.29000000000002</v>
      </c>
      <c r="G94" t="s">
        <v>282</v>
      </c>
      <c r="H94" t="s">
        <v>462</v>
      </c>
      <c r="I94" s="83">
        <v>45965</v>
      </c>
      <c r="J94" s="31" t="str">
        <f t="shared" si="1"/>
        <v>58486 45848</v>
      </c>
    </row>
    <row r="95" spans="1:10" x14ac:dyDescent="0.25">
      <c r="A95">
        <v>95</v>
      </c>
      <c r="B95" s="24" t="s">
        <v>205</v>
      </c>
      <c r="C95" s="43" t="s">
        <v>144</v>
      </c>
      <c r="D95" s="55">
        <v>69883</v>
      </c>
      <c r="E95" s="56">
        <v>45858</v>
      </c>
      <c r="F95" s="57">
        <v>506.77</v>
      </c>
      <c r="G95" t="s">
        <v>282</v>
      </c>
      <c r="H95" t="s">
        <v>462</v>
      </c>
      <c r="I95" s="83">
        <v>45965</v>
      </c>
      <c r="J95" s="31" t="str">
        <f t="shared" si="1"/>
        <v>69883 45858</v>
      </c>
    </row>
    <row r="96" spans="1:10" x14ac:dyDescent="0.25">
      <c r="A96">
        <v>96</v>
      </c>
      <c r="B96" s="24" t="s">
        <v>205</v>
      </c>
      <c r="C96" s="43" t="s">
        <v>144</v>
      </c>
      <c r="D96" s="55">
        <v>58486</v>
      </c>
      <c r="E96" s="56">
        <v>45879</v>
      </c>
      <c r="F96" s="57">
        <v>274.60000000000002</v>
      </c>
      <c r="G96" t="s">
        <v>282</v>
      </c>
      <c r="H96" t="s">
        <v>462</v>
      </c>
      <c r="I96" s="83">
        <v>45965</v>
      </c>
      <c r="J96" s="31" t="str">
        <f t="shared" si="1"/>
        <v>58486 45879</v>
      </c>
    </row>
    <row r="97" spans="1:10" x14ac:dyDescent="0.25">
      <c r="A97">
        <v>97</v>
      </c>
      <c r="B97" s="24" t="s">
        <v>205</v>
      </c>
      <c r="C97" s="43" t="s">
        <v>145</v>
      </c>
      <c r="D97" s="55">
        <v>59976</v>
      </c>
      <c r="E97" s="56">
        <v>45868</v>
      </c>
      <c r="F97" s="57">
        <v>293.97000000000003</v>
      </c>
      <c r="G97" t="s">
        <v>282</v>
      </c>
      <c r="H97" t="s">
        <v>462</v>
      </c>
      <c r="I97" s="83">
        <v>45965</v>
      </c>
      <c r="J97" s="31" t="str">
        <f t="shared" si="1"/>
        <v>59976 45868</v>
      </c>
    </row>
    <row r="98" spans="1:10" x14ac:dyDescent="0.25">
      <c r="A98">
        <v>98</v>
      </c>
      <c r="B98" s="24" t="s">
        <v>205</v>
      </c>
      <c r="C98" s="43" t="s">
        <v>146</v>
      </c>
      <c r="D98" s="55">
        <v>69090</v>
      </c>
      <c r="E98" s="56">
        <v>45838</v>
      </c>
      <c r="F98" s="57">
        <v>214.26</v>
      </c>
      <c r="G98" t="s">
        <v>282</v>
      </c>
      <c r="H98" t="s">
        <v>118</v>
      </c>
      <c r="I98" s="32" t="s">
        <v>475</v>
      </c>
      <c r="J98" s="31" t="str">
        <f t="shared" si="1"/>
        <v>69090 45838</v>
      </c>
    </row>
    <row r="99" spans="1:10" x14ac:dyDescent="0.25">
      <c r="A99">
        <v>99</v>
      </c>
      <c r="B99" s="24" t="s">
        <v>205</v>
      </c>
      <c r="C99" s="43" t="s">
        <v>147</v>
      </c>
      <c r="D99" s="55">
        <v>64261</v>
      </c>
      <c r="E99" s="56">
        <v>45868</v>
      </c>
      <c r="F99" s="57">
        <v>374.04</v>
      </c>
      <c r="G99" t="s">
        <v>282</v>
      </c>
      <c r="H99" t="s">
        <v>462</v>
      </c>
      <c r="I99" s="83">
        <v>45965</v>
      </c>
      <c r="J99" s="31" t="str">
        <f t="shared" si="1"/>
        <v>64261 45868</v>
      </c>
    </row>
    <row r="100" spans="1:10" x14ac:dyDescent="0.25">
      <c r="A100">
        <v>100</v>
      </c>
      <c r="B100" s="24" t="s">
        <v>205</v>
      </c>
      <c r="C100" s="44" t="s">
        <v>207</v>
      </c>
      <c r="D100" s="55">
        <v>67565</v>
      </c>
      <c r="E100" s="56">
        <v>45757</v>
      </c>
      <c r="F100" s="57">
        <v>245.33</v>
      </c>
      <c r="G100" t="s">
        <v>282</v>
      </c>
      <c r="H100" t="s">
        <v>118</v>
      </c>
      <c r="I100" s="32" t="s">
        <v>475</v>
      </c>
      <c r="J100" s="31" t="str">
        <f t="shared" si="1"/>
        <v>67565 45757</v>
      </c>
    </row>
    <row r="101" spans="1:10" x14ac:dyDescent="0.25">
      <c r="A101">
        <v>101</v>
      </c>
      <c r="B101" s="24" t="s">
        <v>205</v>
      </c>
      <c r="C101" s="43" t="s">
        <v>148</v>
      </c>
      <c r="D101" s="55">
        <v>23004</v>
      </c>
      <c r="E101" s="56">
        <v>45879</v>
      </c>
      <c r="F101" s="57">
        <v>2015.91</v>
      </c>
      <c r="G101" t="s">
        <v>282</v>
      </c>
      <c r="H101" t="s">
        <v>118</v>
      </c>
      <c r="I101" s="32" t="s">
        <v>475</v>
      </c>
      <c r="J101" s="31" t="str">
        <f t="shared" si="1"/>
        <v>23004 45879</v>
      </c>
    </row>
    <row r="102" spans="1:10" x14ac:dyDescent="0.25">
      <c r="A102">
        <v>102</v>
      </c>
      <c r="B102" s="24" t="s">
        <v>205</v>
      </c>
      <c r="C102" s="43" t="s">
        <v>149</v>
      </c>
      <c r="D102" s="55">
        <v>59845</v>
      </c>
      <c r="E102" s="56">
        <v>45879</v>
      </c>
      <c r="F102" s="57">
        <v>293.97000000000003</v>
      </c>
      <c r="G102" t="s">
        <v>282</v>
      </c>
      <c r="H102" t="s">
        <v>462</v>
      </c>
      <c r="I102" s="83">
        <v>45965</v>
      </c>
      <c r="J102" s="31" t="str">
        <f t="shared" si="1"/>
        <v>59845 45879</v>
      </c>
    </row>
    <row r="103" spans="1:10" x14ac:dyDescent="0.25">
      <c r="A103">
        <v>103</v>
      </c>
      <c r="B103" s="24" t="s">
        <v>205</v>
      </c>
      <c r="C103" s="43" t="s">
        <v>150</v>
      </c>
      <c r="D103" s="55">
        <v>61042</v>
      </c>
      <c r="E103" s="56">
        <v>45879</v>
      </c>
      <c r="F103" s="57">
        <v>365.27</v>
      </c>
      <c r="G103" t="s">
        <v>282</v>
      </c>
      <c r="H103" t="s">
        <v>462</v>
      </c>
      <c r="I103" s="83">
        <v>45965</v>
      </c>
      <c r="J103" s="31" t="str">
        <f t="shared" si="1"/>
        <v>61042 45879</v>
      </c>
    </row>
    <row r="104" spans="1:10" x14ac:dyDescent="0.25">
      <c r="A104">
        <v>104</v>
      </c>
      <c r="B104" s="24" t="s">
        <v>205</v>
      </c>
      <c r="C104" s="43" t="s">
        <v>151</v>
      </c>
      <c r="D104" s="55">
        <v>36926</v>
      </c>
      <c r="E104" s="56">
        <v>45879</v>
      </c>
      <c r="F104" s="57">
        <v>193.62</v>
      </c>
      <c r="G104" t="s">
        <v>282</v>
      </c>
      <c r="H104" t="s">
        <v>462</v>
      </c>
      <c r="I104" s="83">
        <v>45965</v>
      </c>
      <c r="J104" s="31" t="str">
        <f t="shared" si="1"/>
        <v>36926 45879</v>
      </c>
    </row>
    <row r="105" spans="1:10" x14ac:dyDescent="0.25">
      <c r="A105">
        <v>105</v>
      </c>
      <c r="B105" s="24" t="s">
        <v>205</v>
      </c>
      <c r="C105" s="43" t="s">
        <v>152</v>
      </c>
      <c r="D105" s="55">
        <v>57923</v>
      </c>
      <c r="E105" s="56">
        <v>45858</v>
      </c>
      <c r="F105" s="57">
        <v>1601.6</v>
      </c>
      <c r="G105" t="s">
        <v>282</v>
      </c>
      <c r="H105" t="s">
        <v>462</v>
      </c>
      <c r="I105" s="83">
        <v>45965</v>
      </c>
      <c r="J105" s="31" t="str">
        <f t="shared" si="1"/>
        <v>57923 45858</v>
      </c>
    </row>
    <row r="106" spans="1:10" x14ac:dyDescent="0.25">
      <c r="A106">
        <v>106</v>
      </c>
      <c r="B106" s="24" t="s">
        <v>205</v>
      </c>
      <c r="C106" s="43" t="s">
        <v>153</v>
      </c>
      <c r="D106" s="55">
        <v>42622</v>
      </c>
      <c r="E106" s="56">
        <v>45858</v>
      </c>
      <c r="F106" s="57">
        <v>193.66</v>
      </c>
      <c r="G106" t="s">
        <v>282</v>
      </c>
      <c r="H106" t="s">
        <v>462</v>
      </c>
      <c r="I106" s="83">
        <v>45965</v>
      </c>
      <c r="J106" s="31" t="str">
        <f t="shared" si="1"/>
        <v>42622 45858</v>
      </c>
    </row>
    <row r="107" spans="1:10" x14ac:dyDescent="0.25">
      <c r="A107">
        <v>107</v>
      </c>
      <c r="B107" s="24" t="s">
        <v>205</v>
      </c>
      <c r="C107" s="43" t="s">
        <v>155</v>
      </c>
      <c r="D107" s="55">
        <v>62430</v>
      </c>
      <c r="E107" s="56">
        <v>45879</v>
      </c>
      <c r="F107" s="57">
        <v>359.63</v>
      </c>
      <c r="G107" t="s">
        <v>282</v>
      </c>
      <c r="H107" t="s">
        <v>462</v>
      </c>
      <c r="I107" s="83">
        <v>45965</v>
      </c>
      <c r="J107" s="31" t="str">
        <f t="shared" si="1"/>
        <v>62430 45879</v>
      </c>
    </row>
    <row r="108" spans="1:10" x14ac:dyDescent="0.25">
      <c r="A108">
        <v>108</v>
      </c>
      <c r="B108" s="24" t="s">
        <v>205</v>
      </c>
      <c r="C108" s="43" t="s">
        <v>155</v>
      </c>
      <c r="D108" s="55">
        <v>64996</v>
      </c>
      <c r="E108" s="56">
        <v>45879</v>
      </c>
      <c r="F108" s="57">
        <v>343.91</v>
      </c>
      <c r="G108" t="s">
        <v>282</v>
      </c>
      <c r="H108" t="s">
        <v>462</v>
      </c>
      <c r="I108" s="83">
        <v>45965</v>
      </c>
      <c r="J108" s="31" t="str">
        <f t="shared" si="1"/>
        <v>64996 45879</v>
      </c>
    </row>
    <row r="109" spans="1:10" x14ac:dyDescent="0.25">
      <c r="A109">
        <v>109</v>
      </c>
      <c r="B109" s="24" t="s">
        <v>205</v>
      </c>
      <c r="C109" s="43" t="s">
        <v>156</v>
      </c>
      <c r="D109" s="55">
        <v>56972</v>
      </c>
      <c r="E109" s="56">
        <v>45848</v>
      </c>
      <c r="F109" s="57">
        <v>293.97000000000003</v>
      </c>
      <c r="G109" t="s">
        <v>282</v>
      </c>
      <c r="H109" t="s">
        <v>462</v>
      </c>
      <c r="I109" s="83">
        <v>45965</v>
      </c>
      <c r="J109" s="31" t="str">
        <f t="shared" si="1"/>
        <v>56972 45848</v>
      </c>
    </row>
    <row r="110" spans="1:10" x14ac:dyDescent="0.25">
      <c r="A110">
        <v>110</v>
      </c>
      <c r="B110" s="24" t="s">
        <v>205</v>
      </c>
      <c r="C110" s="43" t="s">
        <v>156</v>
      </c>
      <c r="D110" s="55">
        <v>56972</v>
      </c>
      <c r="E110" s="56">
        <v>45879</v>
      </c>
      <c r="F110" s="57">
        <v>293.97000000000003</v>
      </c>
      <c r="G110" t="s">
        <v>282</v>
      </c>
      <c r="H110" t="s">
        <v>462</v>
      </c>
      <c r="I110" s="83">
        <v>45965</v>
      </c>
      <c r="J110" s="31" t="str">
        <f t="shared" si="1"/>
        <v>56972 45879</v>
      </c>
    </row>
    <row r="111" spans="1:10" x14ac:dyDescent="0.25">
      <c r="A111">
        <v>111</v>
      </c>
      <c r="B111" s="24" t="s">
        <v>205</v>
      </c>
      <c r="C111" s="43" t="s">
        <v>157</v>
      </c>
      <c r="D111" s="55">
        <v>69055</v>
      </c>
      <c r="E111" s="56">
        <v>45868</v>
      </c>
      <c r="F111" s="57">
        <v>214.26</v>
      </c>
      <c r="G111" t="s">
        <v>282</v>
      </c>
      <c r="H111" t="s">
        <v>462</v>
      </c>
      <c r="I111" s="83">
        <v>45965</v>
      </c>
      <c r="J111" s="31" t="str">
        <f t="shared" si="1"/>
        <v>69055 45868</v>
      </c>
    </row>
    <row r="112" spans="1:10" x14ac:dyDescent="0.25">
      <c r="A112">
        <v>112</v>
      </c>
      <c r="B112" s="24" t="s">
        <v>205</v>
      </c>
      <c r="C112" s="43" t="s">
        <v>158</v>
      </c>
      <c r="D112" s="55">
        <v>46699</v>
      </c>
      <c r="E112" s="56">
        <v>45879</v>
      </c>
      <c r="F112" s="57">
        <v>191.98</v>
      </c>
      <c r="G112" t="s">
        <v>282</v>
      </c>
      <c r="H112" t="s">
        <v>462</v>
      </c>
      <c r="I112" s="83">
        <v>45965</v>
      </c>
      <c r="J112" s="31" t="str">
        <f t="shared" si="1"/>
        <v>46699 45879</v>
      </c>
    </row>
    <row r="113" spans="1:10" x14ac:dyDescent="0.25">
      <c r="A113">
        <v>113</v>
      </c>
      <c r="B113" s="24" t="s">
        <v>205</v>
      </c>
      <c r="C113" s="43" t="s">
        <v>158</v>
      </c>
      <c r="D113" s="55">
        <v>50286</v>
      </c>
      <c r="E113" s="56">
        <v>45879</v>
      </c>
      <c r="F113" s="57">
        <v>297.01</v>
      </c>
      <c r="G113" t="s">
        <v>282</v>
      </c>
      <c r="H113" t="s">
        <v>462</v>
      </c>
      <c r="I113" s="83">
        <v>45965</v>
      </c>
      <c r="J113" s="31" t="str">
        <f t="shared" si="1"/>
        <v>50286 45879</v>
      </c>
    </row>
    <row r="114" spans="1:10" x14ac:dyDescent="0.25">
      <c r="A114">
        <v>114</v>
      </c>
      <c r="B114" s="24" t="s">
        <v>205</v>
      </c>
      <c r="C114" s="43" t="s">
        <v>159</v>
      </c>
      <c r="D114" s="55">
        <v>59587</v>
      </c>
      <c r="E114" s="56">
        <v>45879</v>
      </c>
      <c r="F114" s="57">
        <v>293.97000000000003</v>
      </c>
      <c r="G114" t="s">
        <v>282</v>
      </c>
      <c r="H114" t="s">
        <v>118</v>
      </c>
      <c r="I114" s="32" t="s">
        <v>475</v>
      </c>
      <c r="J114" s="31" t="str">
        <f t="shared" si="1"/>
        <v>59587 45879</v>
      </c>
    </row>
    <row r="115" spans="1:10" x14ac:dyDescent="0.25">
      <c r="A115">
        <v>115</v>
      </c>
      <c r="B115" s="24" t="s">
        <v>205</v>
      </c>
      <c r="C115" s="43" t="s">
        <v>160</v>
      </c>
      <c r="D115" s="55">
        <v>62856</v>
      </c>
      <c r="E115" s="56">
        <v>45879</v>
      </c>
      <c r="F115" s="57">
        <v>321.64</v>
      </c>
      <c r="G115" t="s">
        <v>282</v>
      </c>
      <c r="H115" t="s">
        <v>462</v>
      </c>
      <c r="I115" s="83">
        <v>45965</v>
      </c>
      <c r="J115" s="31" t="str">
        <f t="shared" si="1"/>
        <v>62856 45879</v>
      </c>
    </row>
    <row r="116" spans="1:10" x14ac:dyDescent="0.25">
      <c r="A116">
        <v>116</v>
      </c>
      <c r="B116" s="24" t="s">
        <v>205</v>
      </c>
      <c r="C116" s="43" t="s">
        <v>161</v>
      </c>
      <c r="D116" s="55">
        <v>64019</v>
      </c>
      <c r="E116" s="56">
        <v>45868</v>
      </c>
      <c r="F116" s="57">
        <v>321.64</v>
      </c>
      <c r="G116" t="s">
        <v>282</v>
      </c>
      <c r="H116" t="s">
        <v>462</v>
      </c>
      <c r="I116" s="83">
        <v>45965</v>
      </c>
      <c r="J116" s="31" t="str">
        <f t="shared" si="1"/>
        <v>64019 45868</v>
      </c>
    </row>
    <row r="117" spans="1:10" x14ac:dyDescent="0.25">
      <c r="A117">
        <v>117</v>
      </c>
      <c r="B117" s="24" t="s">
        <v>205</v>
      </c>
      <c r="C117" s="43" t="s">
        <v>161</v>
      </c>
      <c r="D117" s="55">
        <v>64020</v>
      </c>
      <c r="E117" s="56">
        <v>45868</v>
      </c>
      <c r="F117" s="57">
        <v>321.64</v>
      </c>
      <c r="G117" t="s">
        <v>282</v>
      </c>
      <c r="H117" t="s">
        <v>462</v>
      </c>
      <c r="I117" s="83">
        <v>45965</v>
      </c>
      <c r="J117" s="31" t="str">
        <f t="shared" si="1"/>
        <v>64020 45868</v>
      </c>
    </row>
    <row r="118" spans="1:10" x14ac:dyDescent="0.25">
      <c r="A118">
        <v>118</v>
      </c>
      <c r="B118" s="24" t="s">
        <v>205</v>
      </c>
      <c r="C118" s="43" t="s">
        <v>162</v>
      </c>
      <c r="D118" s="55">
        <v>66724</v>
      </c>
      <c r="E118" s="56">
        <v>45879</v>
      </c>
      <c r="F118" s="57">
        <v>213.72</v>
      </c>
      <c r="G118" t="s">
        <v>282</v>
      </c>
      <c r="H118" t="s">
        <v>462</v>
      </c>
      <c r="I118" s="83">
        <v>45965</v>
      </c>
      <c r="J118" s="31" t="str">
        <f t="shared" si="1"/>
        <v>66724 45879</v>
      </c>
    </row>
    <row r="119" spans="1:10" x14ac:dyDescent="0.25">
      <c r="A119">
        <v>119</v>
      </c>
      <c r="B119" s="24" t="s">
        <v>205</v>
      </c>
      <c r="C119" s="43" t="s">
        <v>163</v>
      </c>
      <c r="D119" s="55">
        <v>72276</v>
      </c>
      <c r="E119" s="56">
        <v>45879</v>
      </c>
      <c r="F119" s="57">
        <v>290.42</v>
      </c>
      <c r="G119" t="s">
        <v>282</v>
      </c>
      <c r="H119" t="s">
        <v>118</v>
      </c>
      <c r="I119" s="32" t="s">
        <v>475</v>
      </c>
      <c r="J119" s="31" t="str">
        <f t="shared" si="1"/>
        <v>72276 45879</v>
      </c>
    </row>
    <row r="120" spans="1:10" x14ac:dyDescent="0.25">
      <c r="A120">
        <v>120</v>
      </c>
      <c r="B120" s="24" t="s">
        <v>205</v>
      </c>
      <c r="C120" s="43" t="s">
        <v>164</v>
      </c>
      <c r="D120" s="55">
        <v>67007</v>
      </c>
      <c r="E120" s="56">
        <v>45716</v>
      </c>
      <c r="F120" s="57">
        <v>208.32</v>
      </c>
      <c r="G120" t="s">
        <v>282</v>
      </c>
      <c r="H120" t="s">
        <v>118</v>
      </c>
      <c r="I120" s="32" t="s">
        <v>475</v>
      </c>
      <c r="J120" s="31" t="str">
        <f t="shared" si="1"/>
        <v>67007 45716</v>
      </c>
    </row>
    <row r="121" spans="1:10" x14ac:dyDescent="0.25">
      <c r="A121">
        <v>121</v>
      </c>
      <c r="B121" s="24" t="s">
        <v>205</v>
      </c>
      <c r="C121" s="43" t="s">
        <v>164</v>
      </c>
      <c r="D121" s="55">
        <v>67007</v>
      </c>
      <c r="E121" s="56">
        <v>45868</v>
      </c>
      <c r="F121" s="57">
        <v>222.71</v>
      </c>
      <c r="G121" t="s">
        <v>282</v>
      </c>
      <c r="H121" t="s">
        <v>118</v>
      </c>
      <c r="I121" s="32" t="s">
        <v>475</v>
      </c>
      <c r="J121" s="31" t="str">
        <f t="shared" si="1"/>
        <v>67007 45868</v>
      </c>
    </row>
    <row r="122" spans="1:10" x14ac:dyDescent="0.25">
      <c r="A122">
        <v>122</v>
      </c>
      <c r="B122" s="24" t="s">
        <v>205</v>
      </c>
      <c r="C122" s="43" t="s">
        <v>165</v>
      </c>
      <c r="D122" s="55">
        <v>68078</v>
      </c>
      <c r="E122" s="56">
        <v>45879</v>
      </c>
      <c r="F122" s="57">
        <v>458.43</v>
      </c>
      <c r="G122" t="s">
        <v>282</v>
      </c>
      <c r="H122" t="s">
        <v>462</v>
      </c>
      <c r="I122" s="83">
        <v>45965</v>
      </c>
      <c r="J122" s="31" t="str">
        <f t="shared" si="1"/>
        <v>68078 45879</v>
      </c>
    </row>
    <row r="123" spans="1:10" x14ac:dyDescent="0.25">
      <c r="A123">
        <v>123</v>
      </c>
      <c r="B123" s="24" t="s">
        <v>205</v>
      </c>
      <c r="C123" s="43" t="s">
        <v>166</v>
      </c>
      <c r="D123" s="55">
        <v>67411</v>
      </c>
      <c r="E123" s="56">
        <v>45868</v>
      </c>
      <c r="F123" s="57">
        <v>231.56</v>
      </c>
      <c r="G123" t="s">
        <v>282</v>
      </c>
      <c r="H123" t="s">
        <v>118</v>
      </c>
      <c r="I123" s="32" t="s">
        <v>475</v>
      </c>
      <c r="J123" s="31" t="str">
        <f t="shared" si="1"/>
        <v>67411 45868</v>
      </c>
    </row>
    <row r="124" spans="1:10" x14ac:dyDescent="0.25">
      <c r="A124">
        <v>124</v>
      </c>
      <c r="B124" s="24" t="s">
        <v>205</v>
      </c>
      <c r="C124" s="43" t="s">
        <v>167</v>
      </c>
      <c r="D124" s="55">
        <v>41102</v>
      </c>
      <c r="E124" s="56">
        <v>45879</v>
      </c>
      <c r="F124" s="57">
        <v>602.77</v>
      </c>
      <c r="G124" t="s">
        <v>282</v>
      </c>
      <c r="H124" t="s">
        <v>462</v>
      </c>
      <c r="I124" s="83">
        <v>45965</v>
      </c>
      <c r="J124" s="31" t="str">
        <f t="shared" si="1"/>
        <v>41102 45879</v>
      </c>
    </row>
    <row r="125" spans="1:10" x14ac:dyDescent="0.25">
      <c r="A125">
        <v>125</v>
      </c>
      <c r="B125" s="24" t="s">
        <v>205</v>
      </c>
      <c r="C125" s="43" t="s">
        <v>168</v>
      </c>
      <c r="D125" s="55">
        <v>70369</v>
      </c>
      <c r="E125" s="56">
        <v>45879</v>
      </c>
      <c r="F125" s="57">
        <v>282.17</v>
      </c>
      <c r="G125" t="s">
        <v>282</v>
      </c>
      <c r="H125" t="s">
        <v>462</v>
      </c>
      <c r="I125" s="83">
        <v>45965</v>
      </c>
      <c r="J125" s="31" t="str">
        <f t="shared" si="1"/>
        <v>70369 45879</v>
      </c>
    </row>
    <row r="126" spans="1:10" x14ac:dyDescent="0.25">
      <c r="A126">
        <v>126</v>
      </c>
      <c r="B126" s="24" t="s">
        <v>205</v>
      </c>
      <c r="C126" s="43" t="s">
        <v>169</v>
      </c>
      <c r="D126" s="55">
        <v>66855</v>
      </c>
      <c r="E126" s="56">
        <v>45656</v>
      </c>
      <c r="F126" s="57">
        <v>371.2</v>
      </c>
      <c r="G126" t="s">
        <v>282</v>
      </c>
      <c r="H126" t="s">
        <v>462</v>
      </c>
      <c r="I126" s="83">
        <v>45965</v>
      </c>
      <c r="J126" s="31" t="str">
        <f t="shared" si="1"/>
        <v>66855 45656</v>
      </c>
    </row>
    <row r="127" spans="1:10" x14ac:dyDescent="0.25">
      <c r="A127">
        <v>127</v>
      </c>
      <c r="B127" s="24" t="s">
        <v>205</v>
      </c>
      <c r="C127" s="43" t="s">
        <v>170</v>
      </c>
      <c r="D127" s="55">
        <v>70007</v>
      </c>
      <c r="E127" s="56">
        <v>45868</v>
      </c>
      <c r="F127" s="57">
        <v>271.41000000000003</v>
      </c>
      <c r="G127" t="s">
        <v>282</v>
      </c>
      <c r="H127" t="s">
        <v>118</v>
      </c>
      <c r="I127" s="32" t="s">
        <v>475</v>
      </c>
      <c r="J127" s="31" t="str">
        <f t="shared" si="1"/>
        <v>70007 45868</v>
      </c>
    </row>
    <row r="128" spans="1:10" x14ac:dyDescent="0.25">
      <c r="A128">
        <v>128</v>
      </c>
      <c r="B128" s="24" t="s">
        <v>205</v>
      </c>
      <c r="C128" s="43" t="s">
        <v>171</v>
      </c>
      <c r="D128" s="55">
        <v>65914</v>
      </c>
      <c r="E128" s="56">
        <v>45879</v>
      </c>
      <c r="F128" s="57">
        <v>384.33</v>
      </c>
      <c r="G128" t="s">
        <v>282</v>
      </c>
      <c r="H128" t="s">
        <v>462</v>
      </c>
      <c r="I128" s="83">
        <v>45965</v>
      </c>
      <c r="J128" s="31" t="str">
        <f t="shared" si="1"/>
        <v>65914 45879</v>
      </c>
    </row>
    <row r="129" spans="1:10" x14ac:dyDescent="0.25">
      <c r="A129">
        <v>129</v>
      </c>
      <c r="B129" s="24" t="s">
        <v>205</v>
      </c>
      <c r="C129" s="43" t="s">
        <v>172</v>
      </c>
      <c r="D129" s="55">
        <v>69663</v>
      </c>
      <c r="E129" s="56">
        <v>45868</v>
      </c>
      <c r="F129" s="57">
        <v>442.63</v>
      </c>
      <c r="G129" t="s">
        <v>282</v>
      </c>
      <c r="H129" t="s">
        <v>118</v>
      </c>
      <c r="I129" s="32" t="s">
        <v>475</v>
      </c>
      <c r="J129" s="31" t="str">
        <f t="shared" si="1"/>
        <v>69663 45868</v>
      </c>
    </row>
    <row r="130" spans="1:10" x14ac:dyDescent="0.25">
      <c r="A130">
        <v>130</v>
      </c>
      <c r="B130" s="24" t="s">
        <v>205</v>
      </c>
      <c r="C130" s="43" t="s">
        <v>172</v>
      </c>
      <c r="D130" s="55">
        <v>70344</v>
      </c>
      <c r="E130" s="56">
        <v>45879</v>
      </c>
      <c r="F130" s="57">
        <v>313.35000000000002</v>
      </c>
      <c r="G130" t="s">
        <v>282</v>
      </c>
      <c r="H130" t="s">
        <v>118</v>
      </c>
      <c r="I130" s="32" t="s">
        <v>475</v>
      </c>
      <c r="J130" s="31" t="str">
        <f t="shared" ref="J130:J193" si="2">_xlfn.CONCAT(D130," ",E130)</f>
        <v>70344 45879</v>
      </c>
    </row>
    <row r="131" spans="1:10" x14ac:dyDescent="0.25">
      <c r="A131">
        <v>131</v>
      </c>
      <c r="B131" s="24" t="s">
        <v>205</v>
      </c>
      <c r="C131" s="43" t="s">
        <v>173</v>
      </c>
      <c r="D131" s="55">
        <v>69334</v>
      </c>
      <c r="E131" s="56">
        <v>45858</v>
      </c>
      <c r="F131" s="57">
        <v>1302.8699999999999</v>
      </c>
      <c r="G131" t="s">
        <v>282</v>
      </c>
      <c r="H131" t="s">
        <v>118</v>
      </c>
      <c r="I131" s="32" t="s">
        <v>475</v>
      </c>
      <c r="J131" s="31" t="str">
        <f t="shared" si="2"/>
        <v>69334 45858</v>
      </c>
    </row>
    <row r="132" spans="1:10" x14ac:dyDescent="0.25">
      <c r="A132">
        <v>132</v>
      </c>
      <c r="B132" s="24" t="s">
        <v>205</v>
      </c>
      <c r="C132" s="43" t="s">
        <v>174</v>
      </c>
      <c r="D132" s="55">
        <v>71065</v>
      </c>
      <c r="E132" s="56">
        <v>45848</v>
      </c>
      <c r="F132" s="57">
        <v>244.21</v>
      </c>
      <c r="G132" t="s">
        <v>282</v>
      </c>
      <c r="H132" t="s">
        <v>118</v>
      </c>
      <c r="I132" s="32" t="s">
        <v>475</v>
      </c>
      <c r="J132" s="31" t="str">
        <f t="shared" si="2"/>
        <v>71065 45848</v>
      </c>
    </row>
    <row r="133" spans="1:10" x14ac:dyDescent="0.25">
      <c r="A133">
        <v>133</v>
      </c>
      <c r="B133" s="24" t="s">
        <v>205</v>
      </c>
      <c r="C133" s="43" t="s">
        <v>174</v>
      </c>
      <c r="D133" s="55">
        <v>71065</v>
      </c>
      <c r="E133" s="56">
        <v>45879</v>
      </c>
      <c r="F133" s="57">
        <v>244.21</v>
      </c>
      <c r="G133" t="s">
        <v>282</v>
      </c>
      <c r="H133" t="s">
        <v>118</v>
      </c>
      <c r="I133" s="32" t="s">
        <v>475</v>
      </c>
      <c r="J133" s="31" t="str">
        <f t="shared" si="2"/>
        <v>71065 45879</v>
      </c>
    </row>
    <row r="134" spans="1:10" x14ac:dyDescent="0.25">
      <c r="A134">
        <v>134</v>
      </c>
      <c r="B134" s="24" t="s">
        <v>205</v>
      </c>
      <c r="C134" s="43" t="s">
        <v>176</v>
      </c>
      <c r="D134" s="55">
        <v>69107</v>
      </c>
      <c r="E134" s="56">
        <v>45879</v>
      </c>
      <c r="F134" s="57">
        <v>1086.3699999999999</v>
      </c>
      <c r="G134" t="s">
        <v>282</v>
      </c>
      <c r="H134" t="s">
        <v>118</v>
      </c>
      <c r="I134" s="32" t="s">
        <v>475</v>
      </c>
      <c r="J134" s="31" t="str">
        <f t="shared" si="2"/>
        <v>69107 45879</v>
      </c>
    </row>
    <row r="135" spans="1:10" ht="16.5" x14ac:dyDescent="0.3">
      <c r="A135">
        <v>135</v>
      </c>
      <c r="B135" s="25" t="s">
        <v>205</v>
      </c>
      <c r="C135" s="45">
        <v>47690836372</v>
      </c>
      <c r="D135" s="59">
        <v>29677</v>
      </c>
      <c r="E135" s="60">
        <v>44145</v>
      </c>
      <c r="F135" s="61">
        <v>81.96</v>
      </c>
      <c r="G135" s="28" t="s">
        <v>208</v>
      </c>
      <c r="H135" t="s">
        <v>118</v>
      </c>
      <c r="I135" s="32" t="s">
        <v>475</v>
      </c>
      <c r="J135" s="31" t="str">
        <f t="shared" si="2"/>
        <v>29677 44145</v>
      </c>
    </row>
    <row r="136" spans="1:10" ht="16.5" x14ac:dyDescent="0.3">
      <c r="A136">
        <v>136</v>
      </c>
      <c r="B136" s="25" t="s">
        <v>205</v>
      </c>
      <c r="C136" s="45">
        <v>58672370104</v>
      </c>
      <c r="D136" s="59">
        <v>29690</v>
      </c>
      <c r="E136" s="60">
        <v>44145</v>
      </c>
      <c r="F136" s="61">
        <v>9</v>
      </c>
      <c r="G136" s="28" t="s">
        <v>208</v>
      </c>
      <c r="H136" t="s">
        <v>463</v>
      </c>
      <c r="I136" s="83">
        <v>45966</v>
      </c>
      <c r="J136" s="31" t="str">
        <f t="shared" si="2"/>
        <v>29690 44145</v>
      </c>
    </row>
    <row r="137" spans="1:10" ht="16.5" x14ac:dyDescent="0.3">
      <c r="A137">
        <v>137</v>
      </c>
      <c r="B137" s="25" t="s">
        <v>205</v>
      </c>
      <c r="C137" s="45">
        <v>58672370104</v>
      </c>
      <c r="D137" s="59">
        <v>49856</v>
      </c>
      <c r="E137" s="60">
        <v>44145</v>
      </c>
      <c r="F137" s="61">
        <v>61.92</v>
      </c>
      <c r="G137" s="28" t="s">
        <v>208</v>
      </c>
      <c r="H137" t="s">
        <v>463</v>
      </c>
      <c r="I137" s="83">
        <v>45966</v>
      </c>
      <c r="J137" s="31" t="str">
        <f t="shared" si="2"/>
        <v>49856 44145</v>
      </c>
    </row>
    <row r="138" spans="1:10" ht="16.5" x14ac:dyDescent="0.3">
      <c r="A138">
        <v>138</v>
      </c>
      <c r="B138" s="25" t="s">
        <v>205</v>
      </c>
      <c r="C138" s="45">
        <v>34333983304</v>
      </c>
      <c r="D138" s="59">
        <v>65395</v>
      </c>
      <c r="E138" s="60">
        <v>44165</v>
      </c>
      <c r="F138" s="61">
        <v>63.59</v>
      </c>
      <c r="G138" s="28" t="s">
        <v>209</v>
      </c>
      <c r="H138" t="s">
        <v>463</v>
      </c>
      <c r="I138" s="83">
        <v>45966</v>
      </c>
      <c r="J138" s="31" t="str">
        <f t="shared" si="2"/>
        <v>65395 44165</v>
      </c>
    </row>
    <row r="139" spans="1:10" ht="16.5" x14ac:dyDescent="0.3">
      <c r="A139">
        <v>139</v>
      </c>
      <c r="B139" s="25" t="s">
        <v>205</v>
      </c>
      <c r="C139" s="45">
        <v>61576842320</v>
      </c>
      <c r="D139" s="59">
        <v>67851</v>
      </c>
      <c r="E139" s="60">
        <v>44418</v>
      </c>
      <c r="F139" s="61">
        <v>210.33</v>
      </c>
      <c r="G139" s="28" t="s">
        <v>210</v>
      </c>
      <c r="H139" t="s">
        <v>463</v>
      </c>
      <c r="I139" s="83">
        <v>45966</v>
      </c>
      <c r="J139" s="31" t="str">
        <f t="shared" si="2"/>
        <v>67851 44418</v>
      </c>
    </row>
    <row r="140" spans="1:10" ht="16.5" x14ac:dyDescent="0.3">
      <c r="A140">
        <v>140</v>
      </c>
      <c r="B140" s="25" t="s">
        <v>205</v>
      </c>
      <c r="C140" s="45">
        <v>61576842320</v>
      </c>
      <c r="D140" s="59">
        <v>67851</v>
      </c>
      <c r="E140" s="60">
        <v>44449</v>
      </c>
      <c r="F140" s="61">
        <v>161.33000000000001</v>
      </c>
      <c r="G140" s="28" t="s">
        <v>210</v>
      </c>
      <c r="H140" t="s">
        <v>463</v>
      </c>
      <c r="I140" s="83">
        <v>45966</v>
      </c>
      <c r="J140" s="31" t="str">
        <f t="shared" si="2"/>
        <v>67851 44449</v>
      </c>
    </row>
    <row r="141" spans="1:10" ht="16.5" x14ac:dyDescent="0.3">
      <c r="A141">
        <v>141</v>
      </c>
      <c r="B141" s="25" t="s">
        <v>205</v>
      </c>
      <c r="C141" s="45">
        <v>71679723391</v>
      </c>
      <c r="D141" s="59">
        <v>47158</v>
      </c>
      <c r="E141" s="60">
        <v>44479</v>
      </c>
      <c r="F141" s="61">
        <v>154.47</v>
      </c>
      <c r="G141" s="28" t="s">
        <v>211</v>
      </c>
      <c r="H141" t="s">
        <v>463</v>
      </c>
      <c r="I141" s="83">
        <v>45966</v>
      </c>
      <c r="J141" s="31" t="str">
        <f t="shared" si="2"/>
        <v>47158 44479</v>
      </c>
    </row>
    <row r="142" spans="1:10" ht="16.5" x14ac:dyDescent="0.3">
      <c r="A142">
        <v>142</v>
      </c>
      <c r="B142" s="25" t="s">
        <v>205</v>
      </c>
      <c r="C142" s="45">
        <v>71679723391</v>
      </c>
      <c r="D142" s="59">
        <v>47159</v>
      </c>
      <c r="E142" s="60">
        <v>44479</v>
      </c>
      <c r="F142" s="61">
        <v>154.47</v>
      </c>
      <c r="G142" s="28" t="s">
        <v>211</v>
      </c>
      <c r="H142" t="s">
        <v>463</v>
      </c>
      <c r="I142" s="83">
        <v>45966</v>
      </c>
      <c r="J142" s="31" t="str">
        <f t="shared" si="2"/>
        <v>47159 44479</v>
      </c>
    </row>
    <row r="143" spans="1:10" ht="16.5" x14ac:dyDescent="0.3">
      <c r="A143">
        <v>143</v>
      </c>
      <c r="B143" s="25" t="s">
        <v>205</v>
      </c>
      <c r="C143" s="45">
        <v>90617010315</v>
      </c>
      <c r="D143" s="59">
        <v>50081</v>
      </c>
      <c r="E143" s="60">
        <v>44489</v>
      </c>
      <c r="F143" s="61">
        <v>286.19</v>
      </c>
      <c r="G143" s="28" t="s">
        <v>211</v>
      </c>
      <c r="H143" t="s">
        <v>463</v>
      </c>
      <c r="I143" s="83">
        <v>45966</v>
      </c>
      <c r="J143" s="31" t="str">
        <f t="shared" si="2"/>
        <v>50081 44489</v>
      </c>
    </row>
    <row r="144" spans="1:10" ht="16.5" x14ac:dyDescent="0.3">
      <c r="A144">
        <v>144</v>
      </c>
      <c r="B144" s="25" t="s">
        <v>205</v>
      </c>
      <c r="C144" s="45">
        <v>90617010315</v>
      </c>
      <c r="D144" s="59">
        <v>50082</v>
      </c>
      <c r="E144" s="60">
        <v>44489</v>
      </c>
      <c r="F144" s="61">
        <v>286.19</v>
      </c>
      <c r="G144" s="28" t="s">
        <v>211</v>
      </c>
      <c r="H144" t="s">
        <v>463</v>
      </c>
      <c r="I144" s="83">
        <v>45966</v>
      </c>
      <c r="J144" s="31" t="str">
        <f t="shared" si="2"/>
        <v>50082 44489</v>
      </c>
    </row>
    <row r="145" spans="1:10" ht="16.5" x14ac:dyDescent="0.3">
      <c r="A145">
        <v>145</v>
      </c>
      <c r="B145" s="25" t="s">
        <v>205</v>
      </c>
      <c r="C145" s="45">
        <v>90617010315</v>
      </c>
      <c r="D145" s="59">
        <v>50088</v>
      </c>
      <c r="E145" s="60">
        <v>44489</v>
      </c>
      <c r="F145" s="61">
        <v>286.19</v>
      </c>
      <c r="G145" s="28" t="s">
        <v>211</v>
      </c>
      <c r="H145" t="s">
        <v>463</v>
      </c>
      <c r="I145" s="83">
        <v>45966</v>
      </c>
      <c r="J145" s="31" t="str">
        <f t="shared" si="2"/>
        <v>50088 44489</v>
      </c>
    </row>
    <row r="146" spans="1:10" ht="16.5" x14ac:dyDescent="0.3">
      <c r="A146">
        <v>146</v>
      </c>
      <c r="B146" s="25" t="s">
        <v>205</v>
      </c>
      <c r="C146" s="45">
        <v>14925710168</v>
      </c>
      <c r="D146" s="59">
        <v>29790</v>
      </c>
      <c r="E146" s="60">
        <v>44499</v>
      </c>
      <c r="F146" s="61">
        <v>313.10000000000002</v>
      </c>
      <c r="G146" s="28" t="s">
        <v>212</v>
      </c>
      <c r="H146" t="s">
        <v>463</v>
      </c>
      <c r="I146" s="83">
        <v>45966</v>
      </c>
      <c r="J146" s="31" t="str">
        <f t="shared" si="2"/>
        <v>29790 44499</v>
      </c>
    </row>
    <row r="147" spans="1:10" ht="16.5" x14ac:dyDescent="0.3">
      <c r="A147">
        <v>147</v>
      </c>
      <c r="B147" s="25" t="s">
        <v>205</v>
      </c>
      <c r="C147" s="45">
        <v>95951989353</v>
      </c>
      <c r="D147" s="59">
        <v>67186</v>
      </c>
      <c r="E147" s="60">
        <v>44499</v>
      </c>
      <c r="F147" s="61">
        <v>385.82</v>
      </c>
      <c r="G147" s="28" t="s">
        <v>211</v>
      </c>
      <c r="H147" t="s">
        <v>463</v>
      </c>
      <c r="I147" s="83">
        <v>45966</v>
      </c>
      <c r="J147" s="31" t="str">
        <f t="shared" si="2"/>
        <v>67186 44499</v>
      </c>
    </row>
    <row r="148" spans="1:10" ht="16.5" x14ac:dyDescent="0.3">
      <c r="A148">
        <v>148</v>
      </c>
      <c r="B148" s="25" t="s">
        <v>205</v>
      </c>
      <c r="C148" s="45">
        <v>62638792381</v>
      </c>
      <c r="D148" s="59">
        <v>68387</v>
      </c>
      <c r="E148" s="60">
        <v>44499</v>
      </c>
      <c r="F148" s="61">
        <v>178.29</v>
      </c>
      <c r="G148" s="28" t="s">
        <v>210</v>
      </c>
      <c r="H148" t="s">
        <v>463</v>
      </c>
      <c r="I148" s="83">
        <v>45966</v>
      </c>
      <c r="J148" s="31" t="str">
        <f t="shared" si="2"/>
        <v>68387 44499</v>
      </c>
    </row>
    <row r="149" spans="1:10" ht="16.5" x14ac:dyDescent="0.3">
      <c r="A149">
        <v>149</v>
      </c>
      <c r="B149" s="25" t="s">
        <v>205</v>
      </c>
      <c r="C149" s="45">
        <v>25466410349</v>
      </c>
      <c r="D149" s="59">
        <v>30482</v>
      </c>
      <c r="E149" s="60">
        <v>44510</v>
      </c>
      <c r="F149" s="61">
        <v>20.45</v>
      </c>
      <c r="G149" s="28" t="s">
        <v>212</v>
      </c>
      <c r="H149" t="s">
        <v>463</v>
      </c>
      <c r="I149" s="83">
        <v>45966</v>
      </c>
      <c r="J149" s="31" t="str">
        <f t="shared" si="2"/>
        <v>30482 44510</v>
      </c>
    </row>
    <row r="150" spans="1:10" ht="16.5" x14ac:dyDescent="0.3">
      <c r="A150">
        <v>150</v>
      </c>
      <c r="B150" s="25" t="s">
        <v>205</v>
      </c>
      <c r="C150" s="45">
        <v>65134931372</v>
      </c>
      <c r="D150" s="59">
        <v>37784</v>
      </c>
      <c r="E150" s="60">
        <v>44530</v>
      </c>
      <c r="F150" s="61">
        <v>161.44999999999999</v>
      </c>
      <c r="G150" s="28" t="s">
        <v>211</v>
      </c>
      <c r="H150" t="s">
        <v>463</v>
      </c>
      <c r="I150" s="83">
        <v>45966</v>
      </c>
      <c r="J150" s="31" t="str">
        <f t="shared" si="2"/>
        <v>37784 44530</v>
      </c>
    </row>
    <row r="151" spans="1:10" ht="16.5" x14ac:dyDescent="0.3">
      <c r="A151">
        <v>151</v>
      </c>
      <c r="B151" s="25" t="s">
        <v>205</v>
      </c>
      <c r="C151" s="45">
        <v>90617010315</v>
      </c>
      <c r="D151" s="59">
        <v>64830</v>
      </c>
      <c r="E151" s="60">
        <v>44530</v>
      </c>
      <c r="F151" s="61">
        <v>522.9</v>
      </c>
      <c r="G151" s="28" t="s">
        <v>211</v>
      </c>
      <c r="H151" t="s">
        <v>463</v>
      </c>
      <c r="I151" s="83">
        <v>45966</v>
      </c>
      <c r="J151" s="31" t="str">
        <f t="shared" si="2"/>
        <v>64830 44530</v>
      </c>
    </row>
    <row r="152" spans="1:10" ht="16.5" x14ac:dyDescent="0.3">
      <c r="A152">
        <v>152</v>
      </c>
      <c r="B152" s="25" t="s">
        <v>205</v>
      </c>
      <c r="C152" s="45">
        <v>83867678120</v>
      </c>
      <c r="D152" s="59">
        <v>66667</v>
      </c>
      <c r="E152" s="60">
        <v>44530</v>
      </c>
      <c r="F152" s="61">
        <v>843.55</v>
      </c>
      <c r="G152" s="28" t="s">
        <v>211</v>
      </c>
      <c r="H152" t="s">
        <v>463</v>
      </c>
      <c r="I152" s="83">
        <v>45966</v>
      </c>
      <c r="J152" s="31" t="str">
        <f t="shared" si="2"/>
        <v>66667 44530</v>
      </c>
    </row>
    <row r="153" spans="1:10" ht="16.5" x14ac:dyDescent="0.3">
      <c r="A153">
        <v>153</v>
      </c>
      <c r="B153" s="25" t="s">
        <v>205</v>
      </c>
      <c r="C153" s="45" t="s">
        <v>125</v>
      </c>
      <c r="D153" s="59">
        <v>67710</v>
      </c>
      <c r="E153" s="60">
        <v>44530</v>
      </c>
      <c r="F153" s="61">
        <v>263.68</v>
      </c>
      <c r="G153" s="28" t="s">
        <v>213</v>
      </c>
      <c r="H153" t="s">
        <v>463</v>
      </c>
      <c r="I153" s="83">
        <v>45966</v>
      </c>
      <c r="J153" s="31" t="str">
        <f t="shared" si="2"/>
        <v>67710 44530</v>
      </c>
    </row>
    <row r="154" spans="1:10" ht="16.5" x14ac:dyDescent="0.3">
      <c r="A154">
        <v>154</v>
      </c>
      <c r="B154" s="25" t="s">
        <v>205</v>
      </c>
      <c r="C154" s="45">
        <v>62638792381</v>
      </c>
      <c r="D154" s="59">
        <v>68387</v>
      </c>
      <c r="E154" s="60">
        <v>44530</v>
      </c>
      <c r="F154" s="61">
        <v>178.29</v>
      </c>
      <c r="G154" s="28" t="s">
        <v>210</v>
      </c>
      <c r="H154" t="s">
        <v>463</v>
      </c>
      <c r="I154" s="83">
        <v>45966</v>
      </c>
      <c r="J154" s="31" t="str">
        <f t="shared" si="2"/>
        <v>68387 44530</v>
      </c>
    </row>
    <row r="155" spans="1:10" ht="16.5" x14ac:dyDescent="0.3">
      <c r="A155">
        <v>155</v>
      </c>
      <c r="B155" s="25" t="s">
        <v>205</v>
      </c>
      <c r="C155" s="45">
        <v>71679723391</v>
      </c>
      <c r="D155" s="59">
        <v>47159</v>
      </c>
      <c r="E155" s="60">
        <v>44540</v>
      </c>
      <c r="F155" s="61">
        <v>8.4</v>
      </c>
      <c r="G155" s="28" t="s">
        <v>211</v>
      </c>
      <c r="H155" t="s">
        <v>463</v>
      </c>
      <c r="I155" s="83">
        <v>45966</v>
      </c>
      <c r="J155" s="31" t="str">
        <f t="shared" si="2"/>
        <v>47159 44540</v>
      </c>
    </row>
    <row r="156" spans="1:10" ht="16.5" x14ac:dyDescent="0.3">
      <c r="A156">
        <v>156</v>
      </c>
      <c r="B156" s="25" t="s">
        <v>205</v>
      </c>
      <c r="C156" s="45" t="s">
        <v>136</v>
      </c>
      <c r="D156" s="59">
        <v>66376</v>
      </c>
      <c r="E156" s="60">
        <v>44550</v>
      </c>
      <c r="F156" s="61">
        <v>73.680000000000007</v>
      </c>
      <c r="G156" s="28" t="s">
        <v>214</v>
      </c>
      <c r="H156" t="s">
        <v>463</v>
      </c>
      <c r="I156" s="83">
        <v>45966</v>
      </c>
      <c r="J156" s="31" t="str">
        <f t="shared" si="2"/>
        <v>66376 44550</v>
      </c>
    </row>
    <row r="157" spans="1:10" ht="16.5" x14ac:dyDescent="0.3">
      <c r="A157">
        <v>157</v>
      </c>
      <c r="B157" s="25" t="s">
        <v>205</v>
      </c>
      <c r="C157" s="45">
        <v>90617010315</v>
      </c>
      <c r="D157" s="59">
        <v>64830</v>
      </c>
      <c r="E157" s="60">
        <v>44560</v>
      </c>
      <c r="F157" s="61">
        <v>522.9</v>
      </c>
      <c r="G157" s="28" t="s">
        <v>211</v>
      </c>
      <c r="H157" t="s">
        <v>463</v>
      </c>
      <c r="I157" s="83">
        <v>45966</v>
      </c>
      <c r="J157" s="31" t="str">
        <f t="shared" si="2"/>
        <v>64830 44560</v>
      </c>
    </row>
    <row r="158" spans="1:10" ht="16.5" x14ac:dyDescent="0.3">
      <c r="A158">
        <v>158</v>
      </c>
      <c r="B158" s="25" t="s">
        <v>205</v>
      </c>
      <c r="C158" s="45">
        <v>83867678120</v>
      </c>
      <c r="D158" s="59">
        <v>66667</v>
      </c>
      <c r="E158" s="60">
        <v>44560</v>
      </c>
      <c r="F158" s="61">
        <v>784.93</v>
      </c>
      <c r="G158" s="28" t="s">
        <v>211</v>
      </c>
      <c r="H158" t="s">
        <v>463</v>
      </c>
      <c r="I158" s="83">
        <v>45966</v>
      </c>
      <c r="J158" s="31" t="str">
        <f t="shared" si="2"/>
        <v>66667 44560</v>
      </c>
    </row>
    <row r="159" spans="1:10" ht="16.5" x14ac:dyDescent="0.3">
      <c r="A159">
        <v>159</v>
      </c>
      <c r="B159" s="25" t="s">
        <v>205</v>
      </c>
      <c r="C159" s="45" t="s">
        <v>125</v>
      </c>
      <c r="D159" s="59">
        <v>67710</v>
      </c>
      <c r="E159" s="60">
        <v>44560</v>
      </c>
      <c r="F159" s="61">
        <v>263.68</v>
      </c>
      <c r="G159" s="28" t="s">
        <v>213</v>
      </c>
      <c r="H159" t="s">
        <v>463</v>
      </c>
      <c r="I159" s="83">
        <v>45966</v>
      </c>
      <c r="J159" s="31" t="str">
        <f t="shared" si="2"/>
        <v>67710 44560</v>
      </c>
    </row>
    <row r="160" spans="1:10" ht="16.5" x14ac:dyDescent="0.3">
      <c r="A160">
        <v>160</v>
      </c>
      <c r="B160" s="25" t="s">
        <v>205</v>
      </c>
      <c r="C160" s="45">
        <v>48722820353</v>
      </c>
      <c r="D160" s="59">
        <v>25354</v>
      </c>
      <c r="E160" s="60">
        <v>44571</v>
      </c>
      <c r="F160" s="61">
        <v>215.93</v>
      </c>
      <c r="G160" s="28" t="s">
        <v>208</v>
      </c>
      <c r="H160" t="s">
        <v>463</v>
      </c>
      <c r="I160" s="83">
        <v>45966</v>
      </c>
      <c r="J160" s="31" t="str">
        <f t="shared" si="2"/>
        <v>25354 44571</v>
      </c>
    </row>
    <row r="161" spans="1:10" ht="16.5" x14ac:dyDescent="0.3">
      <c r="A161">
        <v>161</v>
      </c>
      <c r="B161" s="25" t="s">
        <v>205</v>
      </c>
      <c r="C161" s="45" t="s">
        <v>129</v>
      </c>
      <c r="D161" s="59">
        <v>66964</v>
      </c>
      <c r="E161" s="60">
        <v>44581</v>
      </c>
      <c r="F161" s="61">
        <v>292.98</v>
      </c>
      <c r="G161" s="28" t="s">
        <v>214</v>
      </c>
      <c r="H161" t="s">
        <v>463</v>
      </c>
      <c r="I161" s="83">
        <v>45966</v>
      </c>
      <c r="J161" s="31" t="str">
        <f t="shared" si="2"/>
        <v>66964 44581</v>
      </c>
    </row>
    <row r="162" spans="1:10" ht="16.5" x14ac:dyDescent="0.3">
      <c r="A162">
        <v>162</v>
      </c>
      <c r="B162" s="25" t="s">
        <v>205</v>
      </c>
      <c r="C162" s="45">
        <v>61502038323</v>
      </c>
      <c r="D162" s="59">
        <v>69450</v>
      </c>
      <c r="E162" s="60">
        <v>44581</v>
      </c>
      <c r="F162" s="61">
        <v>178.29</v>
      </c>
      <c r="G162" s="28" t="s">
        <v>210</v>
      </c>
      <c r="H162" t="s">
        <v>118</v>
      </c>
      <c r="I162" s="32" t="s">
        <v>475</v>
      </c>
      <c r="J162" s="31" t="str">
        <f t="shared" si="2"/>
        <v>69450 44581</v>
      </c>
    </row>
    <row r="163" spans="1:10" ht="16.5" x14ac:dyDescent="0.3">
      <c r="A163">
        <v>163</v>
      </c>
      <c r="B163" s="25" t="s">
        <v>205</v>
      </c>
      <c r="C163" s="45" t="s">
        <v>129</v>
      </c>
      <c r="D163" s="59">
        <v>66964</v>
      </c>
      <c r="E163" s="60">
        <v>44612</v>
      </c>
      <c r="F163" s="61">
        <v>292.98</v>
      </c>
      <c r="G163" s="28" t="s">
        <v>214</v>
      </c>
      <c r="H163" t="s">
        <v>463</v>
      </c>
      <c r="I163" s="83">
        <v>45966</v>
      </c>
      <c r="J163" s="31" t="str">
        <f t="shared" si="2"/>
        <v>66964 44612</v>
      </c>
    </row>
    <row r="164" spans="1:10" ht="16.5" x14ac:dyDescent="0.3">
      <c r="A164">
        <v>164</v>
      </c>
      <c r="B164" s="26" t="s">
        <v>205</v>
      </c>
      <c r="C164" s="46">
        <v>63112213300</v>
      </c>
      <c r="D164" s="62">
        <v>51467</v>
      </c>
      <c r="E164" s="63">
        <v>44630</v>
      </c>
      <c r="F164" s="64">
        <v>130.04</v>
      </c>
      <c r="G164" s="28" t="s">
        <v>211</v>
      </c>
      <c r="H164" t="s">
        <v>463</v>
      </c>
      <c r="I164" s="83">
        <v>45966</v>
      </c>
      <c r="J164" s="31" t="str">
        <f t="shared" si="2"/>
        <v>51467 44630</v>
      </c>
    </row>
    <row r="165" spans="1:10" ht="16.5" x14ac:dyDescent="0.3">
      <c r="A165">
        <v>165</v>
      </c>
      <c r="B165" s="26" t="s">
        <v>205</v>
      </c>
      <c r="C165" s="46">
        <v>71679723391</v>
      </c>
      <c r="D165" s="62">
        <v>47159</v>
      </c>
      <c r="E165" s="63">
        <v>44661</v>
      </c>
      <c r="F165" s="64">
        <v>41.85</v>
      </c>
      <c r="G165" s="28" t="s">
        <v>211</v>
      </c>
      <c r="H165" t="s">
        <v>463</v>
      </c>
      <c r="I165" s="83">
        <v>45966</v>
      </c>
      <c r="J165" s="31" t="str">
        <f t="shared" si="2"/>
        <v>47159 44661</v>
      </c>
    </row>
    <row r="166" spans="1:10" ht="16.5" x14ac:dyDescent="0.3">
      <c r="A166">
        <v>166</v>
      </c>
      <c r="B166" s="26" t="s">
        <v>205</v>
      </c>
      <c r="C166" s="46">
        <v>62638792381</v>
      </c>
      <c r="D166" s="62">
        <v>68387</v>
      </c>
      <c r="E166" s="63">
        <v>44681</v>
      </c>
      <c r="F166" s="64">
        <v>33.6</v>
      </c>
      <c r="G166" s="28" t="s">
        <v>210</v>
      </c>
      <c r="H166" t="s">
        <v>463</v>
      </c>
      <c r="I166" s="83">
        <v>45966</v>
      </c>
      <c r="J166" s="31" t="str">
        <f t="shared" si="2"/>
        <v>68387 44681</v>
      </c>
    </row>
    <row r="167" spans="1:10" ht="16.5" x14ac:dyDescent="0.3">
      <c r="A167">
        <v>167</v>
      </c>
      <c r="B167" s="26" t="s">
        <v>205</v>
      </c>
      <c r="C167" s="46">
        <v>60431516340</v>
      </c>
      <c r="D167" s="62">
        <v>67487</v>
      </c>
      <c r="E167" s="63">
        <v>44691</v>
      </c>
      <c r="F167" s="64">
        <v>29.4</v>
      </c>
      <c r="G167" s="28" t="s">
        <v>208</v>
      </c>
      <c r="H167" t="s">
        <v>463</v>
      </c>
      <c r="I167" s="83">
        <v>45966</v>
      </c>
      <c r="J167" s="31" t="str">
        <f t="shared" si="2"/>
        <v>67487 44691</v>
      </c>
    </row>
    <row r="168" spans="1:10" ht="16.5" x14ac:dyDescent="0.3">
      <c r="A168">
        <v>168</v>
      </c>
      <c r="B168" s="26" t="s">
        <v>205</v>
      </c>
      <c r="C168" s="46">
        <v>32844859372</v>
      </c>
      <c r="D168" s="62">
        <v>65811</v>
      </c>
      <c r="E168" s="63">
        <v>44701</v>
      </c>
      <c r="F168" s="64">
        <v>157.88</v>
      </c>
      <c r="G168" s="28" t="s">
        <v>209</v>
      </c>
      <c r="H168" t="s">
        <v>463</v>
      </c>
      <c r="I168" s="83">
        <v>45966</v>
      </c>
      <c r="J168" s="31" t="str">
        <f t="shared" si="2"/>
        <v>65811 44701</v>
      </c>
    </row>
    <row r="169" spans="1:10" ht="16.5" x14ac:dyDescent="0.3">
      <c r="A169">
        <v>169</v>
      </c>
      <c r="B169" s="26" t="s">
        <v>205</v>
      </c>
      <c r="C169" s="46" t="s">
        <v>135</v>
      </c>
      <c r="D169" s="62">
        <v>48972</v>
      </c>
      <c r="E169" s="63">
        <v>44711</v>
      </c>
      <c r="F169" s="64">
        <v>210.23</v>
      </c>
      <c r="G169" s="28" t="s">
        <v>214</v>
      </c>
      <c r="H169" t="s">
        <v>463</v>
      </c>
      <c r="I169" s="83">
        <v>45966</v>
      </c>
      <c r="J169" s="31" t="str">
        <f t="shared" si="2"/>
        <v>48972 44711</v>
      </c>
    </row>
    <row r="170" spans="1:10" ht="16.5" x14ac:dyDescent="0.3">
      <c r="A170">
        <v>170</v>
      </c>
      <c r="B170" s="26" t="s">
        <v>205</v>
      </c>
      <c r="C170" s="46">
        <v>61530542340</v>
      </c>
      <c r="D170" s="62">
        <v>69532</v>
      </c>
      <c r="E170" s="63">
        <v>44722</v>
      </c>
      <c r="F170" s="64">
        <v>156.13</v>
      </c>
      <c r="G170" s="28" t="s">
        <v>210</v>
      </c>
      <c r="H170" t="s">
        <v>463</v>
      </c>
      <c r="I170" s="83">
        <v>45966</v>
      </c>
      <c r="J170" s="31" t="str">
        <f t="shared" si="2"/>
        <v>69532 44722</v>
      </c>
    </row>
    <row r="171" spans="1:10" ht="16.5" x14ac:dyDescent="0.3">
      <c r="A171">
        <v>171</v>
      </c>
      <c r="B171" s="26" t="s">
        <v>205</v>
      </c>
      <c r="C171" s="46" t="s">
        <v>135</v>
      </c>
      <c r="D171" s="62">
        <v>48972</v>
      </c>
      <c r="E171" s="63">
        <v>44742</v>
      </c>
      <c r="F171" s="64">
        <v>216.31</v>
      </c>
      <c r="G171" s="28" t="s">
        <v>214</v>
      </c>
      <c r="H171" t="s">
        <v>463</v>
      </c>
      <c r="I171" s="83">
        <v>45966</v>
      </c>
      <c r="J171" s="31" t="str">
        <f t="shared" si="2"/>
        <v>48972 44742</v>
      </c>
    </row>
    <row r="172" spans="1:10" ht="16.5" x14ac:dyDescent="0.3">
      <c r="A172">
        <v>172</v>
      </c>
      <c r="B172" s="26" t="s">
        <v>205</v>
      </c>
      <c r="C172" s="46" t="s">
        <v>133</v>
      </c>
      <c r="D172" s="62">
        <v>66002</v>
      </c>
      <c r="E172" s="63">
        <v>44742</v>
      </c>
      <c r="F172" s="64">
        <v>36</v>
      </c>
      <c r="G172" s="28" t="s">
        <v>214</v>
      </c>
      <c r="H172" t="s">
        <v>463</v>
      </c>
      <c r="I172" s="83">
        <v>45966</v>
      </c>
      <c r="J172" s="31" t="str">
        <f t="shared" si="2"/>
        <v>66002 44742</v>
      </c>
    </row>
    <row r="173" spans="1:10" ht="16.5" x14ac:dyDescent="0.3">
      <c r="A173">
        <v>173</v>
      </c>
      <c r="B173" s="26" t="s">
        <v>205</v>
      </c>
      <c r="C173" s="46">
        <v>70472956159</v>
      </c>
      <c r="D173" s="62">
        <v>71260</v>
      </c>
      <c r="E173" s="63">
        <v>44762</v>
      </c>
      <c r="F173" s="64">
        <v>246.38</v>
      </c>
      <c r="G173" s="28" t="s">
        <v>211</v>
      </c>
      <c r="H173" t="s">
        <v>463</v>
      </c>
      <c r="I173" s="83">
        <v>45966</v>
      </c>
      <c r="J173" s="31" t="str">
        <f t="shared" si="2"/>
        <v>71260 44762</v>
      </c>
    </row>
    <row r="174" spans="1:10" ht="16.5" x14ac:dyDescent="0.3">
      <c r="A174">
        <v>174</v>
      </c>
      <c r="B174" s="26" t="s">
        <v>205</v>
      </c>
      <c r="C174" s="46">
        <v>66658829349</v>
      </c>
      <c r="D174" s="62">
        <v>29082</v>
      </c>
      <c r="E174" s="63">
        <v>44757</v>
      </c>
      <c r="F174" s="64">
        <v>12.49</v>
      </c>
      <c r="G174" s="28" t="s">
        <v>211</v>
      </c>
      <c r="H174" t="s">
        <v>463</v>
      </c>
      <c r="I174" s="83">
        <v>45966</v>
      </c>
      <c r="J174" s="31" t="str">
        <f t="shared" si="2"/>
        <v>29082 44757</v>
      </c>
    </row>
    <row r="175" spans="1:10" ht="16.5" x14ac:dyDescent="0.3">
      <c r="A175">
        <v>175</v>
      </c>
      <c r="B175" s="26" t="s">
        <v>205</v>
      </c>
      <c r="C175" s="46">
        <v>60248274317</v>
      </c>
      <c r="D175" s="62">
        <v>55116</v>
      </c>
      <c r="E175" s="63">
        <v>44772</v>
      </c>
      <c r="F175" s="64">
        <v>357.35</v>
      </c>
      <c r="G175" s="28" t="s">
        <v>208</v>
      </c>
      <c r="H175" t="s">
        <v>118</v>
      </c>
      <c r="I175" s="32" t="s">
        <v>475</v>
      </c>
      <c r="J175" s="31" t="str">
        <f t="shared" si="2"/>
        <v>55116 44772</v>
      </c>
    </row>
    <row r="176" spans="1:10" ht="16.5" x14ac:dyDescent="0.3">
      <c r="A176">
        <v>176</v>
      </c>
      <c r="B176" s="26" t="s">
        <v>205</v>
      </c>
      <c r="C176" s="46">
        <v>63613204304</v>
      </c>
      <c r="D176" s="62">
        <v>58695</v>
      </c>
      <c r="E176" s="63">
        <v>44772</v>
      </c>
      <c r="F176" s="64">
        <v>661.55</v>
      </c>
      <c r="G176" s="28" t="s">
        <v>211</v>
      </c>
      <c r="H176" t="s">
        <v>463</v>
      </c>
      <c r="I176" s="83">
        <v>45966</v>
      </c>
      <c r="J176" s="31" t="str">
        <f t="shared" si="2"/>
        <v>58695 44772</v>
      </c>
    </row>
    <row r="177" spans="1:10" ht="16.5" x14ac:dyDescent="0.3">
      <c r="A177">
        <v>177</v>
      </c>
      <c r="B177" s="26" t="s">
        <v>205</v>
      </c>
      <c r="C177" s="46">
        <v>63613204304</v>
      </c>
      <c r="D177" s="62">
        <v>58696</v>
      </c>
      <c r="E177" s="63">
        <v>44772</v>
      </c>
      <c r="F177" s="64">
        <v>161.61000000000001</v>
      </c>
      <c r="G177" s="28" t="s">
        <v>211</v>
      </c>
      <c r="H177" t="s">
        <v>463</v>
      </c>
      <c r="I177" s="83">
        <v>45966</v>
      </c>
      <c r="J177" s="31" t="str">
        <f t="shared" si="2"/>
        <v>58696 44772</v>
      </c>
    </row>
    <row r="178" spans="1:10" ht="16.5" x14ac:dyDescent="0.3">
      <c r="A178">
        <v>178</v>
      </c>
      <c r="B178" s="26" t="s">
        <v>205</v>
      </c>
      <c r="C178" s="46" t="s">
        <v>133</v>
      </c>
      <c r="D178" s="62">
        <v>66002</v>
      </c>
      <c r="E178" s="63">
        <v>44772</v>
      </c>
      <c r="F178" s="64">
        <v>36</v>
      </c>
      <c r="G178" s="28" t="s">
        <v>214</v>
      </c>
      <c r="H178" t="s">
        <v>463</v>
      </c>
      <c r="I178" s="83">
        <v>45966</v>
      </c>
      <c r="J178" s="31" t="str">
        <f t="shared" si="2"/>
        <v>66002 44772</v>
      </c>
    </row>
    <row r="179" spans="1:10" ht="16.5" x14ac:dyDescent="0.3">
      <c r="A179">
        <v>179</v>
      </c>
      <c r="B179" s="26" t="s">
        <v>205</v>
      </c>
      <c r="C179" s="46">
        <v>97911895368</v>
      </c>
      <c r="D179" s="62">
        <v>39530</v>
      </c>
      <c r="E179" s="63">
        <v>44788</v>
      </c>
      <c r="F179" s="64">
        <v>38.380000000000003</v>
      </c>
      <c r="G179" s="28" t="s">
        <v>213</v>
      </c>
      <c r="H179" t="s">
        <v>118</v>
      </c>
      <c r="I179" s="32" t="s">
        <v>475</v>
      </c>
      <c r="J179" s="31" t="str">
        <f t="shared" si="2"/>
        <v>39530 44788</v>
      </c>
    </row>
    <row r="180" spans="1:10" ht="16.5" x14ac:dyDescent="0.3">
      <c r="A180">
        <v>180</v>
      </c>
      <c r="B180" s="26" t="s">
        <v>205</v>
      </c>
      <c r="C180" s="46">
        <v>71288333234</v>
      </c>
      <c r="D180" s="62">
        <v>69126</v>
      </c>
      <c r="E180" s="63">
        <v>44783</v>
      </c>
      <c r="F180" s="64">
        <v>97.25</v>
      </c>
      <c r="G180" s="28" t="s">
        <v>211</v>
      </c>
      <c r="H180" t="s">
        <v>463</v>
      </c>
      <c r="I180" s="83">
        <v>45966</v>
      </c>
      <c r="J180" s="31" t="str">
        <f t="shared" si="2"/>
        <v>69126 44783</v>
      </c>
    </row>
    <row r="181" spans="1:10" ht="16.5" x14ac:dyDescent="0.3">
      <c r="A181">
        <v>181</v>
      </c>
      <c r="B181" s="26" t="s">
        <v>205</v>
      </c>
      <c r="C181" s="46">
        <v>87520435253</v>
      </c>
      <c r="D181" s="62">
        <v>68352</v>
      </c>
      <c r="E181" s="63">
        <v>44793</v>
      </c>
      <c r="F181" s="64">
        <v>100.76</v>
      </c>
      <c r="G181" s="28" t="s">
        <v>211</v>
      </c>
      <c r="H181" t="s">
        <v>463</v>
      </c>
      <c r="I181" s="83">
        <v>45966</v>
      </c>
      <c r="J181" s="31" t="str">
        <f t="shared" si="2"/>
        <v>68352 44793</v>
      </c>
    </row>
    <row r="182" spans="1:10" ht="16.5" x14ac:dyDescent="0.3">
      <c r="A182">
        <v>182</v>
      </c>
      <c r="B182" s="26" t="s">
        <v>205</v>
      </c>
      <c r="C182" s="46">
        <v>70472956159</v>
      </c>
      <c r="D182" s="62">
        <v>71260</v>
      </c>
      <c r="E182" s="63">
        <v>44793</v>
      </c>
      <c r="F182" s="64">
        <v>246.38</v>
      </c>
      <c r="G182" s="28" t="s">
        <v>211</v>
      </c>
      <c r="H182" t="s">
        <v>463</v>
      </c>
      <c r="I182" s="83">
        <v>45966</v>
      </c>
      <c r="J182" s="31" t="str">
        <f t="shared" si="2"/>
        <v>71260 44793</v>
      </c>
    </row>
    <row r="183" spans="1:10" ht="16.5" x14ac:dyDescent="0.3">
      <c r="A183">
        <v>183</v>
      </c>
      <c r="B183" s="26" t="s">
        <v>205</v>
      </c>
      <c r="C183" s="46">
        <v>60248274317</v>
      </c>
      <c r="D183" s="62">
        <v>55116</v>
      </c>
      <c r="E183" s="63">
        <v>44803</v>
      </c>
      <c r="F183" s="64">
        <v>357.35</v>
      </c>
      <c r="G183" s="28" t="s">
        <v>208</v>
      </c>
      <c r="H183" t="s">
        <v>118</v>
      </c>
      <c r="I183" s="32" t="s">
        <v>475</v>
      </c>
      <c r="J183" s="31" t="str">
        <f t="shared" si="2"/>
        <v>55116 44803</v>
      </c>
    </row>
    <row r="184" spans="1:10" ht="16.5" x14ac:dyDescent="0.3">
      <c r="A184">
        <v>184</v>
      </c>
      <c r="B184" s="26" t="s">
        <v>205</v>
      </c>
      <c r="C184" s="46">
        <v>97911895368</v>
      </c>
      <c r="D184" s="62">
        <v>39530</v>
      </c>
      <c r="E184" s="63">
        <v>44819</v>
      </c>
      <c r="F184" s="64">
        <v>23.05</v>
      </c>
      <c r="G184" s="28" t="s">
        <v>213</v>
      </c>
      <c r="H184" t="s">
        <v>118</v>
      </c>
      <c r="I184" s="32" t="s">
        <v>475</v>
      </c>
      <c r="J184" s="31" t="str">
        <f t="shared" si="2"/>
        <v>39530 44819</v>
      </c>
    </row>
    <row r="185" spans="1:10" ht="16.5" x14ac:dyDescent="0.3">
      <c r="A185">
        <v>185</v>
      </c>
      <c r="B185" s="26" t="s">
        <v>205</v>
      </c>
      <c r="C185" s="46">
        <v>25088033320</v>
      </c>
      <c r="D185" s="62">
        <v>55668</v>
      </c>
      <c r="E185" s="63">
        <v>44824</v>
      </c>
      <c r="F185" s="64">
        <v>369.01</v>
      </c>
      <c r="G185" s="28" t="s">
        <v>212</v>
      </c>
      <c r="H185" t="s">
        <v>118</v>
      </c>
      <c r="I185" s="32" t="s">
        <v>475</v>
      </c>
      <c r="J185" s="31" t="str">
        <f t="shared" si="2"/>
        <v>55668 44824</v>
      </c>
    </row>
    <row r="186" spans="1:10" ht="16.5" x14ac:dyDescent="0.3">
      <c r="A186">
        <v>186</v>
      </c>
      <c r="B186" s="26" t="s">
        <v>205</v>
      </c>
      <c r="C186" s="46" t="s">
        <v>135</v>
      </c>
      <c r="D186" s="62">
        <v>57298</v>
      </c>
      <c r="E186" s="63">
        <v>44824</v>
      </c>
      <c r="F186" s="64">
        <v>173.73</v>
      </c>
      <c r="G186" s="28" t="s">
        <v>214</v>
      </c>
      <c r="H186" t="s">
        <v>463</v>
      </c>
      <c r="I186" s="83">
        <v>45966</v>
      </c>
      <c r="J186" s="31" t="str">
        <f t="shared" si="2"/>
        <v>57298 44824</v>
      </c>
    </row>
    <row r="187" spans="1:10" ht="16.5" x14ac:dyDescent="0.3">
      <c r="A187">
        <v>187</v>
      </c>
      <c r="B187" s="26" t="s">
        <v>205</v>
      </c>
      <c r="C187" s="46">
        <v>61023970376</v>
      </c>
      <c r="D187" s="62">
        <v>68727</v>
      </c>
      <c r="E187" s="63">
        <v>44824</v>
      </c>
      <c r="F187" s="64">
        <v>287.45999999999998</v>
      </c>
      <c r="G187" s="28" t="s">
        <v>210</v>
      </c>
      <c r="H187" t="s">
        <v>463</v>
      </c>
      <c r="I187" s="83">
        <v>45966</v>
      </c>
      <c r="J187" s="31" t="str">
        <f t="shared" si="2"/>
        <v>68727 44824</v>
      </c>
    </row>
    <row r="188" spans="1:10" ht="16.5" x14ac:dyDescent="0.3">
      <c r="A188">
        <v>188</v>
      </c>
      <c r="B188" s="26" t="s">
        <v>205</v>
      </c>
      <c r="C188" s="46">
        <v>72593202300</v>
      </c>
      <c r="D188" s="62">
        <v>70859</v>
      </c>
      <c r="E188" s="63">
        <v>44824</v>
      </c>
      <c r="F188" s="64">
        <v>367.28</v>
      </c>
      <c r="G188" s="28" t="s">
        <v>211</v>
      </c>
      <c r="H188" t="s">
        <v>463</v>
      </c>
      <c r="I188" s="83">
        <v>45966</v>
      </c>
      <c r="J188" s="31" t="str">
        <f t="shared" si="2"/>
        <v>70859 44824</v>
      </c>
    </row>
    <row r="189" spans="1:10" ht="16.5" x14ac:dyDescent="0.3">
      <c r="A189">
        <v>189</v>
      </c>
      <c r="B189" s="26" t="s">
        <v>205</v>
      </c>
      <c r="C189" s="46">
        <v>43625576368</v>
      </c>
      <c r="D189" s="62">
        <v>50747</v>
      </c>
      <c r="E189" s="63">
        <v>44814</v>
      </c>
      <c r="F189" s="64">
        <v>39.36</v>
      </c>
      <c r="G189" s="28" t="s">
        <v>209</v>
      </c>
      <c r="H189" t="s">
        <v>463</v>
      </c>
      <c r="I189" s="83">
        <v>45966</v>
      </c>
      <c r="J189" s="31" t="str">
        <f t="shared" si="2"/>
        <v>50747 44814</v>
      </c>
    </row>
    <row r="190" spans="1:10" ht="16.5" x14ac:dyDescent="0.3">
      <c r="A190">
        <v>190</v>
      </c>
      <c r="B190" s="26" t="s">
        <v>205</v>
      </c>
      <c r="C190" s="46">
        <v>25746502391</v>
      </c>
      <c r="D190" s="62">
        <v>67308</v>
      </c>
      <c r="E190" s="63">
        <v>44814</v>
      </c>
      <c r="F190" s="64">
        <v>56.6</v>
      </c>
      <c r="G190" s="28" t="s">
        <v>212</v>
      </c>
      <c r="H190" t="s">
        <v>463</v>
      </c>
      <c r="I190" s="83">
        <v>45966</v>
      </c>
      <c r="J190" s="31" t="str">
        <f t="shared" si="2"/>
        <v>67308 44814</v>
      </c>
    </row>
    <row r="191" spans="1:10" ht="16.5" x14ac:dyDescent="0.3">
      <c r="A191">
        <v>191</v>
      </c>
      <c r="B191" s="26" t="s">
        <v>205</v>
      </c>
      <c r="C191" s="46">
        <v>87520435253</v>
      </c>
      <c r="D191" s="62">
        <v>68352</v>
      </c>
      <c r="E191" s="63">
        <v>44824</v>
      </c>
      <c r="F191" s="64">
        <v>71.86</v>
      </c>
      <c r="G191" s="28" t="s">
        <v>211</v>
      </c>
      <c r="H191" t="s">
        <v>463</v>
      </c>
      <c r="I191" s="83">
        <v>45966</v>
      </c>
      <c r="J191" s="31" t="str">
        <f t="shared" si="2"/>
        <v>68352 44824</v>
      </c>
    </row>
    <row r="192" spans="1:10" ht="16.5" x14ac:dyDescent="0.3">
      <c r="A192">
        <v>192</v>
      </c>
      <c r="B192" s="26" t="s">
        <v>205</v>
      </c>
      <c r="C192" s="46">
        <v>61530542340</v>
      </c>
      <c r="D192" s="62">
        <v>69532</v>
      </c>
      <c r="E192" s="63">
        <v>44814</v>
      </c>
      <c r="F192" s="64">
        <v>58.8</v>
      </c>
      <c r="G192" s="28" t="s">
        <v>210</v>
      </c>
      <c r="H192" t="s">
        <v>463</v>
      </c>
      <c r="I192" s="83">
        <v>45966</v>
      </c>
      <c r="J192" s="31" t="str">
        <f t="shared" si="2"/>
        <v>69532 44814</v>
      </c>
    </row>
    <row r="193" spans="1:10" ht="16.5" x14ac:dyDescent="0.3">
      <c r="A193">
        <v>193</v>
      </c>
      <c r="B193" s="26" t="s">
        <v>205</v>
      </c>
      <c r="C193" s="46">
        <v>85093548391</v>
      </c>
      <c r="D193" s="62">
        <v>64943</v>
      </c>
      <c r="E193" s="63">
        <v>44844</v>
      </c>
      <c r="F193" s="64">
        <v>16.03</v>
      </c>
      <c r="G193" s="28" t="s">
        <v>211</v>
      </c>
      <c r="H193" t="s">
        <v>463</v>
      </c>
      <c r="I193" s="83">
        <v>45966</v>
      </c>
      <c r="J193" s="31" t="str">
        <f t="shared" si="2"/>
        <v>64943 44844</v>
      </c>
    </row>
    <row r="194" spans="1:10" ht="16.5" x14ac:dyDescent="0.3">
      <c r="A194">
        <v>194</v>
      </c>
      <c r="B194" s="26" t="s">
        <v>205</v>
      </c>
      <c r="C194" s="46">
        <v>25088033320</v>
      </c>
      <c r="D194" s="62">
        <v>55668</v>
      </c>
      <c r="E194" s="63">
        <v>44854</v>
      </c>
      <c r="F194" s="64">
        <v>369.01</v>
      </c>
      <c r="G194" s="28" t="s">
        <v>212</v>
      </c>
      <c r="H194" t="s">
        <v>463</v>
      </c>
      <c r="I194" s="83">
        <v>45966</v>
      </c>
      <c r="J194" s="31" t="str">
        <f t="shared" ref="J194:J257" si="3">_xlfn.CONCAT(D194," ",E194)</f>
        <v>55668 44854</v>
      </c>
    </row>
    <row r="195" spans="1:10" ht="16.5" x14ac:dyDescent="0.3">
      <c r="A195">
        <v>195</v>
      </c>
      <c r="B195" s="26" t="s">
        <v>205</v>
      </c>
      <c r="C195" s="46" t="s">
        <v>135</v>
      </c>
      <c r="D195" s="62">
        <v>57298</v>
      </c>
      <c r="E195" s="63">
        <v>44854</v>
      </c>
      <c r="F195" s="64">
        <v>173.73</v>
      </c>
      <c r="G195" s="28" t="s">
        <v>214</v>
      </c>
      <c r="H195" t="s">
        <v>463</v>
      </c>
      <c r="I195" s="83">
        <v>45966</v>
      </c>
      <c r="J195" s="31" t="str">
        <f t="shared" si="3"/>
        <v>57298 44854</v>
      </c>
    </row>
    <row r="196" spans="1:10" ht="16.5" x14ac:dyDescent="0.3">
      <c r="A196">
        <v>196</v>
      </c>
      <c r="B196" s="26" t="s">
        <v>205</v>
      </c>
      <c r="C196" s="46">
        <v>61023970376</v>
      </c>
      <c r="D196" s="62">
        <v>68727</v>
      </c>
      <c r="E196" s="63">
        <v>44854</v>
      </c>
      <c r="F196" s="64">
        <v>353.8</v>
      </c>
      <c r="G196" s="28" t="s">
        <v>210</v>
      </c>
      <c r="H196" t="s">
        <v>463</v>
      </c>
      <c r="I196" s="83">
        <v>45966</v>
      </c>
      <c r="J196" s="31" t="str">
        <f t="shared" si="3"/>
        <v>68727 44854</v>
      </c>
    </row>
    <row r="197" spans="1:10" ht="16.5" x14ac:dyDescent="0.3">
      <c r="A197">
        <v>197</v>
      </c>
      <c r="B197" s="26" t="s">
        <v>205</v>
      </c>
      <c r="C197" s="46">
        <v>61071028332</v>
      </c>
      <c r="D197" s="62">
        <v>69187</v>
      </c>
      <c r="E197" s="63">
        <v>44854</v>
      </c>
      <c r="F197" s="64">
        <v>423.79</v>
      </c>
      <c r="G197" s="28" t="s">
        <v>210</v>
      </c>
      <c r="H197" t="s">
        <v>463</v>
      </c>
      <c r="I197" s="83">
        <v>45966</v>
      </c>
      <c r="J197" s="31" t="str">
        <f t="shared" si="3"/>
        <v>69187 44854</v>
      </c>
    </row>
    <row r="198" spans="1:10" ht="16.5" x14ac:dyDescent="0.3">
      <c r="A198">
        <v>198</v>
      </c>
      <c r="B198" s="26" t="s">
        <v>205</v>
      </c>
      <c r="C198" s="46">
        <v>72593202300</v>
      </c>
      <c r="D198" s="62">
        <v>70859</v>
      </c>
      <c r="E198" s="63">
        <v>44854</v>
      </c>
      <c r="F198" s="64">
        <v>344.58</v>
      </c>
      <c r="G198" s="28" t="s">
        <v>211</v>
      </c>
      <c r="H198" t="s">
        <v>463</v>
      </c>
      <c r="I198" s="83">
        <v>45966</v>
      </c>
      <c r="J198" s="31" t="str">
        <f t="shared" si="3"/>
        <v>70859 44854</v>
      </c>
    </row>
    <row r="199" spans="1:10" ht="16.5" x14ac:dyDescent="0.3">
      <c r="A199">
        <v>199</v>
      </c>
      <c r="B199" s="26" t="s">
        <v>205</v>
      </c>
      <c r="C199" s="46">
        <v>32884702253</v>
      </c>
      <c r="D199" s="62">
        <v>27987</v>
      </c>
      <c r="E199" s="63">
        <v>44854</v>
      </c>
      <c r="F199" s="64">
        <v>63.66</v>
      </c>
      <c r="G199" s="28" t="s">
        <v>209</v>
      </c>
      <c r="H199" t="s">
        <v>463</v>
      </c>
      <c r="I199" s="83">
        <v>45966</v>
      </c>
      <c r="J199" s="31" t="str">
        <f t="shared" si="3"/>
        <v>27987 44854</v>
      </c>
    </row>
    <row r="200" spans="1:10" ht="16.5" x14ac:dyDescent="0.3">
      <c r="A200">
        <v>200</v>
      </c>
      <c r="B200" s="26" t="s">
        <v>205</v>
      </c>
      <c r="C200" s="46">
        <v>87520435253</v>
      </c>
      <c r="D200" s="62">
        <v>68352</v>
      </c>
      <c r="E200" s="63">
        <v>44854</v>
      </c>
      <c r="F200" s="64">
        <v>32</v>
      </c>
      <c r="G200" s="28" t="s">
        <v>211</v>
      </c>
      <c r="H200" t="s">
        <v>463</v>
      </c>
      <c r="I200" s="83">
        <v>45966</v>
      </c>
      <c r="J200" s="31" t="str">
        <f t="shared" si="3"/>
        <v>68352 44854</v>
      </c>
    </row>
    <row r="201" spans="1:10" ht="16.5" x14ac:dyDescent="0.3">
      <c r="A201">
        <v>201</v>
      </c>
      <c r="B201" s="26" t="s">
        <v>205</v>
      </c>
      <c r="C201" s="46">
        <v>61023970376</v>
      </c>
      <c r="D201" s="62">
        <v>68727</v>
      </c>
      <c r="E201" s="63">
        <v>44885</v>
      </c>
      <c r="F201" s="64">
        <v>30.85</v>
      </c>
      <c r="G201" s="28" t="s">
        <v>210</v>
      </c>
      <c r="H201" t="s">
        <v>463</v>
      </c>
      <c r="I201" s="83">
        <v>45966</v>
      </c>
      <c r="J201" s="31" t="str">
        <f t="shared" si="3"/>
        <v>68727 44885</v>
      </c>
    </row>
    <row r="202" spans="1:10" ht="16.5" x14ac:dyDescent="0.3">
      <c r="A202">
        <v>202</v>
      </c>
      <c r="B202" s="26" t="s">
        <v>205</v>
      </c>
      <c r="C202" s="46">
        <v>61071028332</v>
      </c>
      <c r="D202" s="62">
        <v>69187</v>
      </c>
      <c r="E202" s="63">
        <v>44885</v>
      </c>
      <c r="F202" s="64">
        <v>502.15</v>
      </c>
      <c r="G202" s="28" t="s">
        <v>210</v>
      </c>
      <c r="H202" t="s">
        <v>463</v>
      </c>
      <c r="I202" s="83">
        <v>45966</v>
      </c>
      <c r="J202" s="31" t="str">
        <f t="shared" si="3"/>
        <v>69187 44885</v>
      </c>
    </row>
    <row r="203" spans="1:10" ht="16.5" x14ac:dyDescent="0.3">
      <c r="A203">
        <v>203</v>
      </c>
      <c r="B203" s="26" t="s">
        <v>205</v>
      </c>
      <c r="C203" s="46">
        <v>48724556300</v>
      </c>
      <c r="D203" s="62">
        <v>31734</v>
      </c>
      <c r="E203" s="63">
        <v>44875</v>
      </c>
      <c r="F203" s="64">
        <v>298.2</v>
      </c>
      <c r="G203" s="28" t="s">
        <v>208</v>
      </c>
      <c r="H203" t="s">
        <v>463</v>
      </c>
      <c r="I203" s="83">
        <v>45966</v>
      </c>
      <c r="J203" s="31" t="str">
        <f t="shared" si="3"/>
        <v>31734 44875</v>
      </c>
    </row>
    <row r="204" spans="1:10" ht="16.5" x14ac:dyDescent="0.3">
      <c r="A204">
        <v>204</v>
      </c>
      <c r="B204" s="26" t="s">
        <v>205</v>
      </c>
      <c r="C204" s="46">
        <v>12444685334</v>
      </c>
      <c r="D204" s="62">
        <v>70263</v>
      </c>
      <c r="E204" s="63">
        <v>44895</v>
      </c>
      <c r="F204" s="64">
        <v>209.15</v>
      </c>
      <c r="G204" s="28" t="s">
        <v>212</v>
      </c>
      <c r="H204" t="s">
        <v>463</v>
      </c>
      <c r="I204" s="83">
        <v>45966</v>
      </c>
      <c r="J204" s="31" t="str">
        <f t="shared" si="3"/>
        <v>70263 44895</v>
      </c>
    </row>
    <row r="205" spans="1:10" ht="16.5" x14ac:dyDescent="0.3">
      <c r="A205">
        <v>205</v>
      </c>
      <c r="B205" s="26" t="s">
        <v>205</v>
      </c>
      <c r="C205" s="46">
        <v>26878852315</v>
      </c>
      <c r="D205" s="62">
        <v>42104</v>
      </c>
      <c r="E205" s="63">
        <v>44905</v>
      </c>
      <c r="F205" s="64">
        <v>11.22</v>
      </c>
      <c r="G205" s="28" t="s">
        <v>212</v>
      </c>
      <c r="H205" t="s">
        <v>463</v>
      </c>
      <c r="I205" s="83">
        <v>45966</v>
      </c>
      <c r="J205" s="31" t="str">
        <f t="shared" si="3"/>
        <v>42104 44905</v>
      </c>
    </row>
    <row r="206" spans="1:10" ht="16.5" x14ac:dyDescent="0.3">
      <c r="A206">
        <v>206</v>
      </c>
      <c r="B206" s="26" t="s">
        <v>205</v>
      </c>
      <c r="C206" s="46">
        <v>62379291349</v>
      </c>
      <c r="D206" s="62">
        <v>68055</v>
      </c>
      <c r="E206" s="63">
        <v>44905</v>
      </c>
      <c r="F206" s="64">
        <v>206.98</v>
      </c>
      <c r="G206" s="28" t="s">
        <v>210</v>
      </c>
      <c r="H206" t="s">
        <v>463</v>
      </c>
      <c r="I206" s="83">
        <v>45966</v>
      </c>
      <c r="J206" s="31" t="str">
        <f t="shared" si="3"/>
        <v>68055 44905</v>
      </c>
    </row>
    <row r="207" spans="1:10" ht="16.5" x14ac:dyDescent="0.3">
      <c r="A207">
        <v>207</v>
      </c>
      <c r="B207" s="26" t="s">
        <v>205</v>
      </c>
      <c r="C207" s="46">
        <v>97356190320</v>
      </c>
      <c r="D207" s="62">
        <v>68112</v>
      </c>
      <c r="E207" s="63">
        <v>44915</v>
      </c>
      <c r="F207" s="64">
        <v>666.85</v>
      </c>
      <c r="G207" s="28" t="s">
        <v>213</v>
      </c>
      <c r="H207" t="s">
        <v>463</v>
      </c>
      <c r="I207" s="83">
        <v>45966</v>
      </c>
      <c r="J207" s="31" t="str">
        <f t="shared" si="3"/>
        <v>68112 44915</v>
      </c>
    </row>
    <row r="208" spans="1:10" ht="16.5" x14ac:dyDescent="0.3">
      <c r="A208">
        <v>208</v>
      </c>
      <c r="B208" s="26" t="s">
        <v>205</v>
      </c>
      <c r="C208" s="46">
        <v>61071028332</v>
      </c>
      <c r="D208" s="62">
        <v>69187</v>
      </c>
      <c r="E208" s="63">
        <v>44915</v>
      </c>
      <c r="F208" s="64">
        <v>23.39</v>
      </c>
      <c r="G208" s="28" t="s">
        <v>210</v>
      </c>
      <c r="H208" t="s">
        <v>463</v>
      </c>
      <c r="I208" s="83">
        <v>45966</v>
      </c>
      <c r="J208" s="31" t="str">
        <f t="shared" si="3"/>
        <v>69187 44915</v>
      </c>
    </row>
    <row r="209" spans="1:10" ht="16.5" x14ac:dyDescent="0.3">
      <c r="A209">
        <v>209</v>
      </c>
      <c r="B209" s="27" t="s">
        <v>205</v>
      </c>
      <c r="C209" s="46">
        <v>72593202300</v>
      </c>
      <c r="D209" s="62">
        <v>70859</v>
      </c>
      <c r="E209" s="63">
        <v>44915</v>
      </c>
      <c r="F209" s="64">
        <v>18.16</v>
      </c>
      <c r="G209" s="28" t="s">
        <v>211</v>
      </c>
      <c r="H209" t="s">
        <v>463</v>
      </c>
      <c r="I209" s="83">
        <v>45966</v>
      </c>
      <c r="J209" s="31" t="str">
        <f t="shared" si="3"/>
        <v>70859 44915</v>
      </c>
    </row>
    <row r="210" spans="1:10" ht="16.5" x14ac:dyDescent="0.3">
      <c r="A210">
        <v>210</v>
      </c>
      <c r="B210" s="27" t="s">
        <v>205</v>
      </c>
      <c r="C210" s="46">
        <v>48724556300</v>
      </c>
      <c r="D210" s="62">
        <v>31734</v>
      </c>
      <c r="E210" s="63">
        <v>44905</v>
      </c>
      <c r="F210" s="64">
        <v>736.91</v>
      </c>
      <c r="G210" s="28" t="s">
        <v>208</v>
      </c>
      <c r="H210" t="s">
        <v>463</v>
      </c>
      <c r="I210" s="83">
        <v>45966</v>
      </c>
      <c r="J210" s="31" t="str">
        <f t="shared" si="3"/>
        <v>31734 44905</v>
      </c>
    </row>
    <row r="211" spans="1:10" ht="16.5" x14ac:dyDescent="0.3">
      <c r="A211">
        <v>211</v>
      </c>
      <c r="B211" s="27" t="s">
        <v>205</v>
      </c>
      <c r="C211" s="46">
        <v>29748720349</v>
      </c>
      <c r="D211" s="62">
        <v>34012</v>
      </c>
      <c r="E211" s="63">
        <v>44915</v>
      </c>
      <c r="F211" s="64">
        <v>8.89</v>
      </c>
      <c r="G211" s="28" t="s">
        <v>209</v>
      </c>
      <c r="H211" t="s">
        <v>463</v>
      </c>
      <c r="I211" s="83">
        <v>45966</v>
      </c>
      <c r="J211" s="31" t="str">
        <f t="shared" si="3"/>
        <v>34012 44915</v>
      </c>
    </row>
    <row r="212" spans="1:10" ht="16.5" x14ac:dyDescent="0.3">
      <c r="A212">
        <v>212</v>
      </c>
      <c r="B212" s="27" t="s">
        <v>205</v>
      </c>
      <c r="C212" s="46">
        <v>77089537315</v>
      </c>
      <c r="D212" s="62">
        <v>38519</v>
      </c>
      <c r="E212" s="63">
        <v>44905</v>
      </c>
      <c r="F212" s="64">
        <v>8.4</v>
      </c>
      <c r="G212" s="28" t="s">
        <v>211</v>
      </c>
      <c r="H212" t="s">
        <v>463</v>
      </c>
      <c r="I212" s="83">
        <v>45966</v>
      </c>
      <c r="J212" s="31" t="str">
        <f t="shared" si="3"/>
        <v>38519 44905</v>
      </c>
    </row>
    <row r="213" spans="1:10" ht="16.5" x14ac:dyDescent="0.3">
      <c r="A213">
        <v>213</v>
      </c>
      <c r="B213" s="27" t="s">
        <v>205</v>
      </c>
      <c r="C213" s="46">
        <v>60940323303</v>
      </c>
      <c r="D213" s="62">
        <v>66648</v>
      </c>
      <c r="E213" s="63">
        <v>44925</v>
      </c>
      <c r="F213" s="64">
        <v>293.14999999999998</v>
      </c>
      <c r="G213" s="28" t="s">
        <v>210</v>
      </c>
      <c r="H213" t="s">
        <v>463</v>
      </c>
      <c r="I213" s="83">
        <v>45966</v>
      </c>
      <c r="J213" s="31" t="str">
        <f t="shared" si="3"/>
        <v>66648 44925</v>
      </c>
    </row>
    <row r="214" spans="1:10" ht="16.5" x14ac:dyDescent="0.3">
      <c r="A214">
        <v>214</v>
      </c>
      <c r="B214" s="27" t="s">
        <v>205</v>
      </c>
      <c r="C214" s="46">
        <v>97207071272</v>
      </c>
      <c r="D214" s="62">
        <v>71372</v>
      </c>
      <c r="E214" s="63">
        <v>44925</v>
      </c>
      <c r="F214" s="64">
        <v>332.62</v>
      </c>
      <c r="G214" s="28" t="s">
        <v>213</v>
      </c>
      <c r="H214" t="s">
        <v>463</v>
      </c>
      <c r="I214" s="83">
        <v>45966</v>
      </c>
      <c r="J214" s="31" t="str">
        <f t="shared" si="3"/>
        <v>71372 44925</v>
      </c>
    </row>
    <row r="215" spans="1:10" ht="16.5" x14ac:dyDescent="0.3">
      <c r="A215">
        <v>215</v>
      </c>
      <c r="B215" s="27" t="s">
        <v>205</v>
      </c>
      <c r="C215" s="46">
        <v>10560022395</v>
      </c>
      <c r="D215" s="62">
        <v>71905</v>
      </c>
      <c r="E215" s="63">
        <v>44925</v>
      </c>
      <c r="F215" s="64">
        <v>16.8</v>
      </c>
      <c r="G215" s="28" t="s">
        <v>212</v>
      </c>
      <c r="H215" t="s">
        <v>118</v>
      </c>
      <c r="I215" s="32" t="s">
        <v>475</v>
      </c>
      <c r="J215" s="31" t="str">
        <f t="shared" si="3"/>
        <v>71905 44925</v>
      </c>
    </row>
    <row r="216" spans="1:10" ht="16.5" x14ac:dyDescent="0.3">
      <c r="A216">
        <v>216</v>
      </c>
      <c r="B216" s="27" t="s">
        <v>205</v>
      </c>
      <c r="C216" s="46">
        <v>70402361334</v>
      </c>
      <c r="D216" s="62">
        <v>37314</v>
      </c>
      <c r="E216" s="63">
        <v>44941</v>
      </c>
      <c r="F216" s="64">
        <v>639.22</v>
      </c>
      <c r="G216" s="28" t="s">
        <v>211</v>
      </c>
      <c r="H216" t="s">
        <v>463</v>
      </c>
      <c r="I216" s="83">
        <v>45966</v>
      </c>
      <c r="J216" s="31" t="str">
        <f t="shared" si="3"/>
        <v>37314 44941</v>
      </c>
    </row>
    <row r="217" spans="1:10" ht="16.5" x14ac:dyDescent="0.3">
      <c r="A217">
        <v>217</v>
      </c>
      <c r="B217" s="27" t="s">
        <v>205</v>
      </c>
      <c r="C217" s="46">
        <v>84933577315</v>
      </c>
      <c r="D217" s="62">
        <v>53511</v>
      </c>
      <c r="E217" s="63">
        <v>44936</v>
      </c>
      <c r="F217" s="64">
        <v>228.76</v>
      </c>
      <c r="G217" s="28" t="s">
        <v>211</v>
      </c>
      <c r="H217" t="s">
        <v>463</v>
      </c>
      <c r="I217" s="83">
        <v>45966</v>
      </c>
      <c r="J217" s="31" t="str">
        <f t="shared" si="3"/>
        <v>53511 44936</v>
      </c>
    </row>
    <row r="218" spans="1:10" ht="16.5" x14ac:dyDescent="0.3">
      <c r="A218">
        <v>218</v>
      </c>
      <c r="B218" s="27" t="s">
        <v>205</v>
      </c>
      <c r="C218" s="46">
        <v>89979753315</v>
      </c>
      <c r="D218" s="62">
        <v>64924</v>
      </c>
      <c r="E218" s="63">
        <v>44936</v>
      </c>
      <c r="F218" s="64">
        <v>276.66000000000003</v>
      </c>
      <c r="G218" s="28" t="s">
        <v>211</v>
      </c>
      <c r="H218" t="s">
        <v>463</v>
      </c>
      <c r="I218" s="83">
        <v>45966</v>
      </c>
      <c r="J218" s="31" t="str">
        <f t="shared" si="3"/>
        <v>64924 44936</v>
      </c>
    </row>
    <row r="219" spans="1:10" ht="16.5" x14ac:dyDescent="0.3">
      <c r="A219">
        <v>219</v>
      </c>
      <c r="B219" s="27" t="s">
        <v>205</v>
      </c>
      <c r="C219" s="46">
        <v>85612979304</v>
      </c>
      <c r="D219" s="62">
        <v>65809</v>
      </c>
      <c r="E219" s="63">
        <v>44946</v>
      </c>
      <c r="F219" s="64">
        <v>182.35</v>
      </c>
      <c r="G219" s="28" t="s">
        <v>211</v>
      </c>
      <c r="H219" t="s">
        <v>463</v>
      </c>
      <c r="I219" s="83">
        <v>45966</v>
      </c>
      <c r="J219" s="31" t="str">
        <f t="shared" si="3"/>
        <v>65809 44946</v>
      </c>
    </row>
    <row r="220" spans="1:10" ht="16.5" x14ac:dyDescent="0.3">
      <c r="A220">
        <v>220</v>
      </c>
      <c r="B220" s="27" t="s">
        <v>205</v>
      </c>
      <c r="C220" s="46">
        <v>85612979304</v>
      </c>
      <c r="D220" s="62">
        <v>65810</v>
      </c>
      <c r="E220" s="63">
        <v>44946</v>
      </c>
      <c r="F220" s="64">
        <v>182.35</v>
      </c>
      <c r="G220" s="28" t="s">
        <v>211</v>
      </c>
      <c r="H220" t="s">
        <v>463</v>
      </c>
      <c r="I220" s="83">
        <v>45966</v>
      </c>
      <c r="J220" s="31" t="str">
        <f t="shared" si="3"/>
        <v>65810 44946</v>
      </c>
    </row>
    <row r="221" spans="1:10" ht="16.5" x14ac:dyDescent="0.3">
      <c r="A221">
        <v>221</v>
      </c>
      <c r="B221" s="27" t="s">
        <v>205</v>
      </c>
      <c r="C221" s="46">
        <v>97356190320</v>
      </c>
      <c r="D221" s="62">
        <v>68112</v>
      </c>
      <c r="E221" s="63">
        <v>44946</v>
      </c>
      <c r="F221" s="64">
        <v>666.85</v>
      </c>
      <c r="G221" s="28" t="s">
        <v>213</v>
      </c>
      <c r="H221" t="s">
        <v>463</v>
      </c>
      <c r="I221" s="83">
        <v>45966</v>
      </c>
      <c r="J221" s="31" t="str">
        <f t="shared" si="3"/>
        <v>68112 44946</v>
      </c>
    </row>
    <row r="222" spans="1:10" ht="16.5" x14ac:dyDescent="0.3">
      <c r="A222">
        <v>222</v>
      </c>
      <c r="B222" s="27" t="s">
        <v>205</v>
      </c>
      <c r="C222" s="46">
        <v>60965382311</v>
      </c>
      <c r="D222" s="62">
        <v>70145</v>
      </c>
      <c r="E222" s="63">
        <v>44946</v>
      </c>
      <c r="F222" s="64">
        <v>135.07</v>
      </c>
      <c r="G222" s="28" t="s">
        <v>210</v>
      </c>
      <c r="H222" t="s">
        <v>463</v>
      </c>
      <c r="I222" s="83">
        <v>45966</v>
      </c>
      <c r="J222" s="31" t="str">
        <f t="shared" si="3"/>
        <v>70145 44946</v>
      </c>
    </row>
    <row r="223" spans="1:10" ht="16.5" x14ac:dyDescent="0.3">
      <c r="A223">
        <v>223</v>
      </c>
      <c r="B223" s="27" t="s">
        <v>205</v>
      </c>
      <c r="C223" s="46">
        <v>51539640191</v>
      </c>
      <c r="D223" s="62">
        <v>71861</v>
      </c>
      <c r="E223" s="63">
        <v>44946</v>
      </c>
      <c r="F223" s="64">
        <v>869.36</v>
      </c>
      <c r="G223" s="28" t="s">
        <v>208</v>
      </c>
      <c r="H223" t="s">
        <v>463</v>
      </c>
      <c r="I223" s="83">
        <v>45966</v>
      </c>
      <c r="J223" s="31" t="str">
        <f t="shared" si="3"/>
        <v>71861 44946</v>
      </c>
    </row>
    <row r="224" spans="1:10" ht="16.5" x14ac:dyDescent="0.3">
      <c r="A224">
        <v>224</v>
      </c>
      <c r="B224" s="27" t="s">
        <v>205</v>
      </c>
      <c r="C224" s="46">
        <v>29748720349</v>
      </c>
      <c r="D224" s="62">
        <v>34012</v>
      </c>
      <c r="E224" s="63">
        <v>44946</v>
      </c>
      <c r="F224" s="64">
        <v>8.4</v>
      </c>
      <c r="G224" s="28" t="s">
        <v>209</v>
      </c>
      <c r="H224" t="s">
        <v>463</v>
      </c>
      <c r="I224" s="83">
        <v>45966</v>
      </c>
      <c r="J224" s="31" t="str">
        <f t="shared" si="3"/>
        <v>34012 44946</v>
      </c>
    </row>
    <row r="225" spans="1:10" ht="16.5" x14ac:dyDescent="0.3">
      <c r="A225">
        <v>225</v>
      </c>
      <c r="B225" s="27" t="s">
        <v>205</v>
      </c>
      <c r="C225" s="46">
        <v>61023970376</v>
      </c>
      <c r="D225" s="62">
        <v>68727</v>
      </c>
      <c r="E225" s="63">
        <v>44946</v>
      </c>
      <c r="F225" s="64">
        <v>101.87</v>
      </c>
      <c r="G225" s="28" t="s">
        <v>210</v>
      </c>
      <c r="H225" t="s">
        <v>463</v>
      </c>
      <c r="I225" s="83">
        <v>45966</v>
      </c>
      <c r="J225" s="31" t="str">
        <f t="shared" si="3"/>
        <v>68727 44946</v>
      </c>
    </row>
    <row r="226" spans="1:10" ht="16.5" x14ac:dyDescent="0.3">
      <c r="A226">
        <v>226</v>
      </c>
      <c r="B226" s="27" t="s">
        <v>205</v>
      </c>
      <c r="C226" s="46">
        <v>60940323303</v>
      </c>
      <c r="D226" s="62">
        <v>66648</v>
      </c>
      <c r="E226" s="63">
        <v>44956</v>
      </c>
      <c r="F226" s="64">
        <v>338.59</v>
      </c>
      <c r="G226" s="28" t="s">
        <v>210</v>
      </c>
      <c r="H226" t="s">
        <v>463</v>
      </c>
      <c r="I226" s="83">
        <v>45966</v>
      </c>
      <c r="J226" s="31" t="str">
        <f t="shared" si="3"/>
        <v>66648 44956</v>
      </c>
    </row>
    <row r="227" spans="1:10" ht="16.5" x14ac:dyDescent="0.3">
      <c r="A227">
        <v>227</v>
      </c>
      <c r="B227" s="27" t="s">
        <v>205</v>
      </c>
      <c r="C227" s="46">
        <v>60920961371</v>
      </c>
      <c r="D227" s="62">
        <v>69498</v>
      </c>
      <c r="E227" s="63">
        <v>44956</v>
      </c>
      <c r="F227" s="64">
        <v>497.23</v>
      </c>
      <c r="G227" s="28" t="s">
        <v>210</v>
      </c>
      <c r="H227" t="s">
        <v>463</v>
      </c>
      <c r="I227" s="83">
        <v>45966</v>
      </c>
      <c r="J227" s="31" t="str">
        <f t="shared" si="3"/>
        <v>69498 44956</v>
      </c>
    </row>
    <row r="228" spans="1:10" ht="16.5" x14ac:dyDescent="0.3">
      <c r="A228">
        <v>228</v>
      </c>
      <c r="B228" s="27" t="s">
        <v>205</v>
      </c>
      <c r="C228" s="46">
        <v>60215595335</v>
      </c>
      <c r="D228" s="62">
        <v>69517</v>
      </c>
      <c r="E228" s="63">
        <v>44956</v>
      </c>
      <c r="F228" s="64">
        <v>231.14</v>
      </c>
      <c r="G228" s="28" t="s">
        <v>208</v>
      </c>
      <c r="H228" t="s">
        <v>463</v>
      </c>
      <c r="I228" s="83">
        <v>45966</v>
      </c>
      <c r="J228" s="31" t="str">
        <f t="shared" si="3"/>
        <v>69517 44956</v>
      </c>
    </row>
    <row r="229" spans="1:10" ht="16.5" x14ac:dyDescent="0.3">
      <c r="A229">
        <v>229</v>
      </c>
      <c r="B229" s="27" t="s">
        <v>205</v>
      </c>
      <c r="C229" s="46">
        <v>97207071272</v>
      </c>
      <c r="D229" s="62">
        <v>71372</v>
      </c>
      <c r="E229" s="63">
        <v>44956</v>
      </c>
      <c r="F229" s="64">
        <v>332.62</v>
      </c>
      <c r="G229" s="28" t="s">
        <v>213</v>
      </c>
      <c r="H229" t="s">
        <v>463</v>
      </c>
      <c r="I229" s="83">
        <v>45966</v>
      </c>
      <c r="J229" s="31" t="str">
        <f t="shared" si="3"/>
        <v>71372 44956</v>
      </c>
    </row>
    <row r="230" spans="1:10" ht="16.5" x14ac:dyDescent="0.3">
      <c r="A230">
        <v>230</v>
      </c>
      <c r="B230" s="27" t="s">
        <v>205</v>
      </c>
      <c r="C230" s="46">
        <v>10560022395</v>
      </c>
      <c r="D230" s="62">
        <v>71905</v>
      </c>
      <c r="E230" s="63">
        <v>44956</v>
      </c>
      <c r="F230" s="64">
        <v>24.25</v>
      </c>
      <c r="G230" s="28" t="s">
        <v>212</v>
      </c>
      <c r="H230" t="s">
        <v>118</v>
      </c>
      <c r="I230" s="32" t="s">
        <v>475</v>
      </c>
      <c r="J230" s="31" t="str">
        <f t="shared" si="3"/>
        <v>71905 44956</v>
      </c>
    </row>
    <row r="231" spans="1:10" ht="16.5" x14ac:dyDescent="0.3">
      <c r="A231">
        <v>231</v>
      </c>
      <c r="B231" s="27" t="s">
        <v>205</v>
      </c>
      <c r="C231" s="46">
        <v>70402361334</v>
      </c>
      <c r="D231" s="62">
        <v>37314</v>
      </c>
      <c r="E231" s="63">
        <v>44972</v>
      </c>
      <c r="F231" s="64">
        <v>625.72</v>
      </c>
      <c r="G231" s="28" t="s">
        <v>211</v>
      </c>
      <c r="H231" t="s">
        <v>463</v>
      </c>
      <c r="I231" s="83">
        <v>45966</v>
      </c>
      <c r="J231" s="31" t="str">
        <f t="shared" si="3"/>
        <v>37314 44972</v>
      </c>
    </row>
    <row r="232" spans="1:10" ht="16.5" x14ac:dyDescent="0.3">
      <c r="A232">
        <v>232</v>
      </c>
      <c r="B232" s="27" t="s">
        <v>205</v>
      </c>
      <c r="C232" s="46">
        <v>34554408353</v>
      </c>
      <c r="D232" s="62">
        <v>56809</v>
      </c>
      <c r="E232" s="63">
        <v>44967</v>
      </c>
      <c r="F232" s="64">
        <v>62.7</v>
      </c>
      <c r="G232" s="28" t="s">
        <v>209</v>
      </c>
      <c r="H232" t="s">
        <v>463</v>
      </c>
      <c r="I232" s="83">
        <v>45966</v>
      </c>
      <c r="J232" s="31" t="str">
        <f t="shared" si="3"/>
        <v>56809 44967</v>
      </c>
    </row>
    <row r="233" spans="1:10" ht="16.5" x14ac:dyDescent="0.3">
      <c r="A233">
        <v>233</v>
      </c>
      <c r="B233" s="27" t="s">
        <v>205</v>
      </c>
      <c r="C233" s="46">
        <v>89979753315</v>
      </c>
      <c r="D233" s="62">
        <v>64924</v>
      </c>
      <c r="E233" s="63">
        <v>44967</v>
      </c>
      <c r="F233" s="64">
        <v>276.66000000000003</v>
      </c>
      <c r="G233" s="28" t="s">
        <v>211</v>
      </c>
      <c r="H233" t="s">
        <v>463</v>
      </c>
      <c r="I233" s="83">
        <v>45966</v>
      </c>
      <c r="J233" s="31" t="str">
        <f t="shared" si="3"/>
        <v>64924 44967</v>
      </c>
    </row>
    <row r="234" spans="1:10" ht="16.5" x14ac:dyDescent="0.3">
      <c r="A234">
        <v>234</v>
      </c>
      <c r="B234" s="27" t="s">
        <v>205</v>
      </c>
      <c r="C234" s="46">
        <v>62379291349</v>
      </c>
      <c r="D234" s="62">
        <v>68055</v>
      </c>
      <c r="E234" s="63">
        <v>44967</v>
      </c>
      <c r="F234" s="64">
        <v>206.98</v>
      </c>
      <c r="G234" s="28" t="s">
        <v>210</v>
      </c>
      <c r="H234" t="s">
        <v>463</v>
      </c>
      <c r="I234" s="83">
        <v>45966</v>
      </c>
      <c r="J234" s="31" t="str">
        <f t="shared" si="3"/>
        <v>68055 44967</v>
      </c>
    </row>
    <row r="235" spans="1:10" ht="16.5" x14ac:dyDescent="0.3">
      <c r="A235">
        <v>235</v>
      </c>
      <c r="B235" s="27" t="s">
        <v>205</v>
      </c>
      <c r="C235" s="46">
        <v>91090768320</v>
      </c>
      <c r="D235" s="62">
        <v>68060</v>
      </c>
      <c r="E235" s="63">
        <v>44967</v>
      </c>
      <c r="F235" s="64">
        <v>198.61</v>
      </c>
      <c r="G235" s="28" t="s">
        <v>211</v>
      </c>
      <c r="H235" t="s">
        <v>463</v>
      </c>
      <c r="I235" s="83">
        <v>45966</v>
      </c>
      <c r="J235" s="31" t="str">
        <f t="shared" si="3"/>
        <v>68060 44967</v>
      </c>
    </row>
    <row r="236" spans="1:10" ht="16.5" x14ac:dyDescent="0.3">
      <c r="A236">
        <v>236</v>
      </c>
      <c r="B236" s="27" t="s">
        <v>205</v>
      </c>
      <c r="C236" s="46">
        <v>84457880353</v>
      </c>
      <c r="D236" s="62">
        <v>71405</v>
      </c>
      <c r="E236" s="63">
        <v>44967</v>
      </c>
      <c r="F236" s="64">
        <v>36</v>
      </c>
      <c r="G236" s="28" t="s">
        <v>211</v>
      </c>
      <c r="H236" t="s">
        <v>463</v>
      </c>
      <c r="I236" s="83">
        <v>45966</v>
      </c>
      <c r="J236" s="31" t="str">
        <f t="shared" si="3"/>
        <v>71405 44967</v>
      </c>
    </row>
    <row r="237" spans="1:10" ht="16.5" x14ac:dyDescent="0.3">
      <c r="A237">
        <v>237</v>
      </c>
      <c r="B237" s="27" t="s">
        <v>205</v>
      </c>
      <c r="C237" s="46">
        <v>89084969391</v>
      </c>
      <c r="D237" s="62">
        <v>59924</v>
      </c>
      <c r="E237" s="63">
        <v>44977</v>
      </c>
      <c r="F237" s="64">
        <v>385.4</v>
      </c>
      <c r="G237" s="28" t="s">
        <v>211</v>
      </c>
      <c r="H237" t="s">
        <v>463</v>
      </c>
      <c r="I237" s="83">
        <v>45966</v>
      </c>
      <c r="J237" s="31" t="str">
        <f t="shared" si="3"/>
        <v>59924 44977</v>
      </c>
    </row>
    <row r="238" spans="1:10" ht="16.5" x14ac:dyDescent="0.3">
      <c r="A238">
        <v>238</v>
      </c>
      <c r="B238" s="27" t="s">
        <v>205</v>
      </c>
      <c r="C238" s="46">
        <v>61079018336</v>
      </c>
      <c r="D238" s="62">
        <v>70121</v>
      </c>
      <c r="E238" s="63">
        <v>44977</v>
      </c>
      <c r="F238" s="64">
        <v>274.20999999999998</v>
      </c>
      <c r="G238" s="28" t="s">
        <v>210</v>
      </c>
      <c r="H238" t="s">
        <v>463</v>
      </c>
      <c r="I238" s="83">
        <v>45966</v>
      </c>
      <c r="J238" s="31" t="str">
        <f t="shared" si="3"/>
        <v>70121 44977</v>
      </c>
    </row>
    <row r="239" spans="1:10" ht="16.5" x14ac:dyDescent="0.3">
      <c r="A239">
        <v>239</v>
      </c>
      <c r="B239" s="27" t="s">
        <v>205</v>
      </c>
      <c r="C239" s="46">
        <v>60965382311</v>
      </c>
      <c r="D239" s="62">
        <v>70145</v>
      </c>
      <c r="E239" s="63">
        <v>44977</v>
      </c>
      <c r="F239" s="64">
        <v>156.01</v>
      </c>
      <c r="G239" s="28" t="s">
        <v>210</v>
      </c>
      <c r="H239" t="s">
        <v>463</v>
      </c>
      <c r="I239" s="83">
        <v>45966</v>
      </c>
      <c r="J239" s="31" t="str">
        <f t="shared" si="3"/>
        <v>70145 44977</v>
      </c>
    </row>
    <row r="240" spans="1:10" ht="16.5" x14ac:dyDescent="0.3">
      <c r="A240">
        <v>240</v>
      </c>
      <c r="B240" s="27" t="s">
        <v>205</v>
      </c>
      <c r="C240" s="46" t="s">
        <v>124</v>
      </c>
      <c r="D240" s="62">
        <v>71566</v>
      </c>
      <c r="E240" s="63">
        <v>44977</v>
      </c>
      <c r="F240" s="64">
        <v>246.38</v>
      </c>
      <c r="G240" s="28" t="s">
        <v>213</v>
      </c>
      <c r="H240" t="s">
        <v>463</v>
      </c>
      <c r="I240" s="83">
        <v>45966</v>
      </c>
      <c r="J240" s="31" t="str">
        <f t="shared" si="3"/>
        <v>71566 44977</v>
      </c>
    </row>
    <row r="241" spans="1:10" ht="16.5" x14ac:dyDescent="0.3">
      <c r="A241">
        <v>241</v>
      </c>
      <c r="B241" s="27" t="s">
        <v>205</v>
      </c>
      <c r="C241" s="46">
        <v>51539640191</v>
      </c>
      <c r="D241" s="62">
        <v>71861</v>
      </c>
      <c r="E241" s="63">
        <v>44977</v>
      </c>
      <c r="F241" s="64">
        <v>869.36</v>
      </c>
      <c r="G241" s="28" t="s">
        <v>208</v>
      </c>
      <c r="H241" t="s">
        <v>463</v>
      </c>
      <c r="I241" s="83">
        <v>45966</v>
      </c>
      <c r="J241" s="31" t="str">
        <f t="shared" si="3"/>
        <v>71861 44977</v>
      </c>
    </row>
    <row r="242" spans="1:10" ht="16.5" x14ac:dyDescent="0.3">
      <c r="A242">
        <v>242</v>
      </c>
      <c r="B242" s="27" t="s">
        <v>205</v>
      </c>
      <c r="C242" s="46">
        <v>60729980383</v>
      </c>
      <c r="D242" s="62">
        <v>63253</v>
      </c>
      <c r="E242" s="63">
        <v>44985</v>
      </c>
      <c r="F242" s="64">
        <v>82.27</v>
      </c>
      <c r="G242" s="28" t="s">
        <v>208</v>
      </c>
      <c r="H242" t="s">
        <v>463</v>
      </c>
      <c r="I242" s="83">
        <v>45966</v>
      </c>
      <c r="J242" s="31" t="str">
        <f t="shared" si="3"/>
        <v>63253 44985</v>
      </c>
    </row>
    <row r="243" spans="1:10" ht="16.5" x14ac:dyDescent="0.3">
      <c r="A243">
        <v>243</v>
      </c>
      <c r="B243" s="27" t="s">
        <v>205</v>
      </c>
      <c r="C243" s="46">
        <v>99542560168</v>
      </c>
      <c r="D243" s="62">
        <v>63463</v>
      </c>
      <c r="E243" s="63">
        <v>44985</v>
      </c>
      <c r="F243" s="64">
        <v>106.17</v>
      </c>
      <c r="G243" s="28" t="s">
        <v>213</v>
      </c>
      <c r="H243" t="s">
        <v>463</v>
      </c>
      <c r="I243" s="83">
        <v>45966</v>
      </c>
      <c r="J243" s="31" t="str">
        <f t="shared" si="3"/>
        <v>63463 44985</v>
      </c>
    </row>
    <row r="244" spans="1:10" ht="16.5" x14ac:dyDescent="0.3">
      <c r="A244">
        <v>244</v>
      </c>
      <c r="B244" s="27" t="s">
        <v>205</v>
      </c>
      <c r="C244" s="46">
        <v>60215595335</v>
      </c>
      <c r="D244" s="62">
        <v>69517</v>
      </c>
      <c r="E244" s="63">
        <v>44985</v>
      </c>
      <c r="F244" s="64">
        <v>231.14</v>
      </c>
      <c r="G244" s="28" t="s">
        <v>208</v>
      </c>
      <c r="H244" t="s">
        <v>463</v>
      </c>
      <c r="I244" s="83">
        <v>45966</v>
      </c>
      <c r="J244" s="31" t="str">
        <f t="shared" si="3"/>
        <v>69517 44985</v>
      </c>
    </row>
    <row r="245" spans="1:10" ht="16.5" x14ac:dyDescent="0.3">
      <c r="A245">
        <v>245</v>
      </c>
      <c r="B245" s="27" t="s">
        <v>205</v>
      </c>
      <c r="C245" s="46">
        <v>97207071272</v>
      </c>
      <c r="D245" s="62">
        <v>71368</v>
      </c>
      <c r="E245" s="63">
        <v>44985</v>
      </c>
      <c r="F245" s="64">
        <v>332.62</v>
      </c>
      <c r="G245" s="28" t="s">
        <v>213</v>
      </c>
      <c r="H245" t="s">
        <v>463</v>
      </c>
      <c r="I245" s="83">
        <v>45966</v>
      </c>
      <c r="J245" s="31" t="str">
        <f t="shared" si="3"/>
        <v>71368 44985</v>
      </c>
    </row>
    <row r="246" spans="1:10" ht="16.5" x14ac:dyDescent="0.3">
      <c r="A246">
        <v>246</v>
      </c>
      <c r="B246" s="27" t="s">
        <v>205</v>
      </c>
      <c r="C246" s="46">
        <v>65056582387</v>
      </c>
      <c r="D246" s="62">
        <v>26716</v>
      </c>
      <c r="E246" s="63">
        <v>44995</v>
      </c>
      <c r="F246" s="64">
        <v>229.62</v>
      </c>
      <c r="G246" s="28" t="s">
        <v>211</v>
      </c>
      <c r="H246" t="s">
        <v>463</v>
      </c>
      <c r="I246" s="83">
        <v>45966</v>
      </c>
      <c r="J246" s="31" t="str">
        <f t="shared" si="3"/>
        <v>26716 44995</v>
      </c>
    </row>
    <row r="247" spans="1:10" ht="16.5" x14ac:dyDescent="0.3">
      <c r="A247">
        <v>247</v>
      </c>
      <c r="B247" s="27" t="s">
        <v>205</v>
      </c>
      <c r="C247" s="46">
        <v>70402361334</v>
      </c>
      <c r="D247" s="62">
        <v>37314</v>
      </c>
      <c r="E247" s="63">
        <v>45000</v>
      </c>
      <c r="F247" s="64">
        <v>8.4</v>
      </c>
      <c r="G247" s="28" t="s">
        <v>211</v>
      </c>
      <c r="H247" t="s">
        <v>463</v>
      </c>
      <c r="I247" s="83">
        <v>45966</v>
      </c>
      <c r="J247" s="31" t="str">
        <f t="shared" si="3"/>
        <v>37314 45000</v>
      </c>
    </row>
    <row r="248" spans="1:10" ht="16.5" x14ac:dyDescent="0.3">
      <c r="A248">
        <v>248</v>
      </c>
      <c r="B248" s="27" t="s">
        <v>205</v>
      </c>
      <c r="C248" s="46">
        <v>91090768320</v>
      </c>
      <c r="D248" s="62">
        <v>68060</v>
      </c>
      <c r="E248" s="63">
        <v>44995</v>
      </c>
      <c r="F248" s="64">
        <v>198.61</v>
      </c>
      <c r="G248" s="28" t="s">
        <v>211</v>
      </c>
      <c r="H248" t="s">
        <v>463</v>
      </c>
      <c r="I248" s="83">
        <v>45966</v>
      </c>
      <c r="J248" s="31" t="str">
        <f t="shared" si="3"/>
        <v>68060 44995</v>
      </c>
    </row>
    <row r="249" spans="1:10" ht="16.5" x14ac:dyDescent="0.3">
      <c r="A249">
        <v>249</v>
      </c>
      <c r="B249" s="27" t="s">
        <v>205</v>
      </c>
      <c r="C249" s="46">
        <v>10176291962</v>
      </c>
      <c r="D249" s="62">
        <v>67561</v>
      </c>
      <c r="E249" s="63">
        <v>45005</v>
      </c>
      <c r="F249" s="64">
        <v>437.04</v>
      </c>
      <c r="G249" s="28" t="s">
        <v>212</v>
      </c>
      <c r="H249" t="s">
        <v>463</v>
      </c>
      <c r="I249" s="83">
        <v>45966</v>
      </c>
      <c r="J249" s="31" t="str">
        <f t="shared" si="3"/>
        <v>67561 45005</v>
      </c>
    </row>
    <row r="250" spans="1:10" ht="16.5" x14ac:dyDescent="0.3">
      <c r="A250">
        <v>250</v>
      </c>
      <c r="B250" s="27" t="s">
        <v>205</v>
      </c>
      <c r="C250" s="46">
        <v>62131536321</v>
      </c>
      <c r="D250" s="62">
        <v>68322</v>
      </c>
      <c r="E250" s="63">
        <v>45005</v>
      </c>
      <c r="F250" s="64">
        <v>226.91</v>
      </c>
      <c r="G250" s="28" t="s">
        <v>210</v>
      </c>
      <c r="H250" t="s">
        <v>118</v>
      </c>
      <c r="I250" s="32" t="s">
        <v>475</v>
      </c>
      <c r="J250" s="31" t="str">
        <f t="shared" si="3"/>
        <v>68322 45005</v>
      </c>
    </row>
    <row r="251" spans="1:10" ht="16.5" x14ac:dyDescent="0.3">
      <c r="A251">
        <v>251</v>
      </c>
      <c r="B251" s="27" t="s">
        <v>205</v>
      </c>
      <c r="C251" s="46">
        <v>61053358300</v>
      </c>
      <c r="D251" s="62">
        <v>68678</v>
      </c>
      <c r="E251" s="63">
        <v>45005</v>
      </c>
      <c r="F251" s="64">
        <v>161.69999999999999</v>
      </c>
      <c r="G251" s="28" t="s">
        <v>210</v>
      </c>
      <c r="H251" t="s">
        <v>463</v>
      </c>
      <c r="I251" s="83">
        <v>45966</v>
      </c>
      <c r="J251" s="31" t="str">
        <f t="shared" si="3"/>
        <v>68678 45005</v>
      </c>
    </row>
    <row r="252" spans="1:10" ht="16.5" x14ac:dyDescent="0.3">
      <c r="A252">
        <v>252</v>
      </c>
      <c r="B252" s="27" t="s">
        <v>205</v>
      </c>
      <c r="C252" s="46">
        <v>61079018336</v>
      </c>
      <c r="D252" s="62">
        <v>70121</v>
      </c>
      <c r="E252" s="63">
        <v>45005</v>
      </c>
      <c r="F252" s="64">
        <v>36</v>
      </c>
      <c r="G252" s="28" t="s">
        <v>210</v>
      </c>
      <c r="H252" t="s">
        <v>463</v>
      </c>
      <c r="I252" s="83">
        <v>45966</v>
      </c>
      <c r="J252" s="31" t="str">
        <f t="shared" si="3"/>
        <v>70121 45005</v>
      </c>
    </row>
    <row r="253" spans="1:10" ht="16.5" x14ac:dyDescent="0.3">
      <c r="A253">
        <v>253</v>
      </c>
      <c r="B253" s="27" t="s">
        <v>205</v>
      </c>
      <c r="C253" s="46" t="s">
        <v>124</v>
      </c>
      <c r="D253" s="62">
        <v>71566</v>
      </c>
      <c r="E253" s="63">
        <v>45005</v>
      </c>
      <c r="F253" s="64">
        <v>246.38</v>
      </c>
      <c r="G253" s="28" t="s">
        <v>213</v>
      </c>
      <c r="H253" t="s">
        <v>463</v>
      </c>
      <c r="I253" s="83">
        <v>45966</v>
      </c>
      <c r="J253" s="31" t="str">
        <f t="shared" si="3"/>
        <v>71566 45005</v>
      </c>
    </row>
    <row r="254" spans="1:10" ht="16.5" x14ac:dyDescent="0.3">
      <c r="A254">
        <v>254</v>
      </c>
      <c r="B254" s="27" t="s">
        <v>205</v>
      </c>
      <c r="C254" s="46">
        <v>48752380378</v>
      </c>
      <c r="D254" s="62">
        <v>34291</v>
      </c>
      <c r="E254" s="63">
        <v>45000</v>
      </c>
      <c r="F254" s="64">
        <v>9.08</v>
      </c>
      <c r="G254" s="28" t="s">
        <v>208</v>
      </c>
      <c r="H254" t="s">
        <v>463</v>
      </c>
      <c r="I254" s="83">
        <v>45966</v>
      </c>
      <c r="J254" s="31" t="str">
        <f t="shared" si="3"/>
        <v>34291 45000</v>
      </c>
    </row>
    <row r="255" spans="1:10" ht="16.5" x14ac:dyDescent="0.3">
      <c r="A255">
        <v>255</v>
      </c>
      <c r="B255" s="27" t="s">
        <v>205</v>
      </c>
      <c r="C255" s="46">
        <v>60653016395</v>
      </c>
      <c r="D255" s="62">
        <v>66848</v>
      </c>
      <c r="E255" s="63">
        <v>45015</v>
      </c>
      <c r="F255" s="64">
        <v>58.5</v>
      </c>
      <c r="G255" s="28" t="s">
        <v>208</v>
      </c>
      <c r="H255" t="s">
        <v>463</v>
      </c>
      <c r="I255" s="83">
        <v>45966</v>
      </c>
      <c r="J255" s="31" t="str">
        <f t="shared" si="3"/>
        <v>66848 45015</v>
      </c>
    </row>
    <row r="256" spans="1:10" ht="16.5" x14ac:dyDescent="0.3">
      <c r="A256">
        <v>256</v>
      </c>
      <c r="B256" s="27" t="s">
        <v>205</v>
      </c>
      <c r="C256" s="46">
        <v>27629708149</v>
      </c>
      <c r="D256" s="62">
        <v>67132</v>
      </c>
      <c r="E256" s="63">
        <v>44995</v>
      </c>
      <c r="F256" s="64">
        <v>25.2</v>
      </c>
      <c r="G256" s="28" t="s">
        <v>212</v>
      </c>
      <c r="H256" t="s">
        <v>463</v>
      </c>
      <c r="I256" s="83">
        <v>45966</v>
      </c>
      <c r="J256" s="31" t="str">
        <f t="shared" si="3"/>
        <v>67132 44995</v>
      </c>
    </row>
    <row r="257" spans="1:10" ht="16.5" x14ac:dyDescent="0.3">
      <c r="A257">
        <v>257</v>
      </c>
      <c r="B257" s="27" t="s">
        <v>205</v>
      </c>
      <c r="C257" s="46">
        <v>61003877354</v>
      </c>
      <c r="D257" s="62">
        <v>67878</v>
      </c>
      <c r="E257" s="63">
        <v>44995</v>
      </c>
      <c r="F257" s="64">
        <v>25.2</v>
      </c>
      <c r="G257" s="28" t="s">
        <v>210</v>
      </c>
      <c r="H257" t="s">
        <v>463</v>
      </c>
      <c r="I257" s="83">
        <v>45966</v>
      </c>
      <c r="J257" s="31" t="str">
        <f t="shared" si="3"/>
        <v>67878 44995</v>
      </c>
    </row>
    <row r="258" spans="1:10" ht="16.5" x14ac:dyDescent="0.3">
      <c r="A258">
        <v>258</v>
      </c>
      <c r="B258" s="27" t="s">
        <v>205</v>
      </c>
      <c r="C258" s="46" t="s">
        <v>134</v>
      </c>
      <c r="D258" s="62">
        <v>69910</v>
      </c>
      <c r="E258" s="63">
        <v>45005</v>
      </c>
      <c r="F258" s="64">
        <v>57.79</v>
      </c>
      <c r="G258" s="28" t="s">
        <v>214</v>
      </c>
      <c r="H258" t="s">
        <v>463</v>
      </c>
      <c r="I258" s="83">
        <v>45966</v>
      </c>
      <c r="J258" s="31" t="str">
        <f t="shared" ref="J258:J321" si="4">_xlfn.CONCAT(D258," ",E258)</f>
        <v>69910 45005</v>
      </c>
    </row>
    <row r="259" spans="1:10" ht="16.5" x14ac:dyDescent="0.3">
      <c r="A259">
        <v>259</v>
      </c>
      <c r="B259" s="27" t="s">
        <v>205</v>
      </c>
      <c r="C259" s="46">
        <v>60729980383</v>
      </c>
      <c r="D259" s="62">
        <v>63253</v>
      </c>
      <c r="E259" s="63">
        <v>45015</v>
      </c>
      <c r="F259" s="64">
        <v>67.44</v>
      </c>
      <c r="G259" s="28" t="s">
        <v>208</v>
      </c>
      <c r="H259" t="s">
        <v>463</v>
      </c>
      <c r="I259" s="83">
        <v>45966</v>
      </c>
      <c r="J259" s="31" t="str">
        <f t="shared" si="4"/>
        <v>63253 45015</v>
      </c>
    </row>
    <row r="260" spans="1:10" ht="16.5" x14ac:dyDescent="0.3">
      <c r="A260">
        <v>260</v>
      </c>
      <c r="B260" s="27" t="s">
        <v>205</v>
      </c>
      <c r="C260" s="46">
        <v>97207071272</v>
      </c>
      <c r="D260" s="62">
        <v>71368</v>
      </c>
      <c r="E260" s="63">
        <v>45015</v>
      </c>
      <c r="F260" s="64">
        <v>332.62</v>
      </c>
      <c r="G260" s="28" t="s">
        <v>213</v>
      </c>
      <c r="H260" t="s">
        <v>463</v>
      </c>
      <c r="I260" s="83">
        <v>45966</v>
      </c>
      <c r="J260" s="31" t="str">
        <f t="shared" si="4"/>
        <v>71368 45015</v>
      </c>
    </row>
    <row r="261" spans="1:10" ht="16.5" x14ac:dyDescent="0.3">
      <c r="A261">
        <v>261</v>
      </c>
      <c r="B261" s="27" t="s">
        <v>205</v>
      </c>
      <c r="C261" s="46">
        <v>97207071272</v>
      </c>
      <c r="D261" s="62">
        <v>71372</v>
      </c>
      <c r="E261" s="63">
        <v>45015</v>
      </c>
      <c r="F261" s="64">
        <v>16.8</v>
      </c>
      <c r="G261" s="28" t="s">
        <v>213</v>
      </c>
      <c r="H261" t="s">
        <v>463</v>
      </c>
      <c r="I261" s="83">
        <v>45966</v>
      </c>
      <c r="J261" s="31" t="str">
        <f t="shared" si="4"/>
        <v>71372 45015</v>
      </c>
    </row>
    <row r="262" spans="1:10" ht="16.5" x14ac:dyDescent="0.3">
      <c r="A262">
        <v>262</v>
      </c>
      <c r="B262" s="27" t="s">
        <v>205</v>
      </c>
      <c r="C262" s="46">
        <v>65056582387</v>
      </c>
      <c r="D262" s="62">
        <v>26716</v>
      </c>
      <c r="E262" s="63">
        <v>45026</v>
      </c>
      <c r="F262" s="64">
        <v>265.20999999999998</v>
      </c>
      <c r="G262" s="28" t="s">
        <v>211</v>
      </c>
      <c r="H262" t="s">
        <v>463</v>
      </c>
      <c r="I262" s="83">
        <v>45966</v>
      </c>
      <c r="J262" s="31" t="str">
        <f t="shared" si="4"/>
        <v>26716 45026</v>
      </c>
    </row>
    <row r="263" spans="1:10" ht="16.5" x14ac:dyDescent="0.3">
      <c r="A263">
        <v>263</v>
      </c>
      <c r="B263" s="27" t="s">
        <v>205</v>
      </c>
      <c r="C263" s="46">
        <v>61565995333</v>
      </c>
      <c r="D263" s="62">
        <v>72061</v>
      </c>
      <c r="E263" s="63">
        <v>45026</v>
      </c>
      <c r="F263" s="64">
        <v>251.83</v>
      </c>
      <c r="G263" s="28" t="s">
        <v>210</v>
      </c>
      <c r="H263" t="s">
        <v>118</v>
      </c>
      <c r="I263" s="32" t="s">
        <v>475</v>
      </c>
      <c r="J263" s="31" t="str">
        <f t="shared" si="4"/>
        <v>72061 45026</v>
      </c>
    </row>
    <row r="264" spans="1:10" ht="16.5" x14ac:dyDescent="0.3">
      <c r="A264">
        <v>264</v>
      </c>
      <c r="B264" s="27" t="s">
        <v>205</v>
      </c>
      <c r="C264" s="46">
        <v>52374548368</v>
      </c>
      <c r="D264" s="62">
        <v>57547</v>
      </c>
      <c r="E264" s="63">
        <v>45036</v>
      </c>
      <c r="F264" s="64">
        <v>1330.22</v>
      </c>
      <c r="G264" s="28" t="s">
        <v>208</v>
      </c>
      <c r="H264" t="s">
        <v>463</v>
      </c>
      <c r="I264" s="83">
        <v>45966</v>
      </c>
      <c r="J264" s="31" t="str">
        <f t="shared" si="4"/>
        <v>57547 45036</v>
      </c>
    </row>
    <row r="265" spans="1:10" ht="16.5" x14ac:dyDescent="0.3">
      <c r="A265">
        <v>265</v>
      </c>
      <c r="B265" s="27" t="s">
        <v>205</v>
      </c>
      <c r="C265" s="46" t="s">
        <v>127</v>
      </c>
      <c r="D265" s="62">
        <v>63421</v>
      </c>
      <c r="E265" s="63">
        <v>45036</v>
      </c>
      <c r="F265" s="64">
        <v>316.95999999999998</v>
      </c>
      <c r="G265" s="28" t="s">
        <v>214</v>
      </c>
      <c r="H265" t="s">
        <v>463</v>
      </c>
      <c r="I265" s="83">
        <v>45966</v>
      </c>
      <c r="J265" s="31" t="str">
        <f t="shared" si="4"/>
        <v>63421 45036</v>
      </c>
    </row>
    <row r="266" spans="1:10" ht="16.5" x14ac:dyDescent="0.3">
      <c r="A266">
        <v>266</v>
      </c>
      <c r="B266" s="27" t="s">
        <v>205</v>
      </c>
      <c r="C266" s="46">
        <v>10176291962</v>
      </c>
      <c r="D266" s="62">
        <v>67561</v>
      </c>
      <c r="E266" s="63">
        <v>45036</v>
      </c>
      <c r="F266" s="64">
        <v>157.30000000000001</v>
      </c>
      <c r="G266" s="28" t="s">
        <v>212</v>
      </c>
      <c r="H266" t="s">
        <v>463</v>
      </c>
      <c r="I266" s="83">
        <v>45966</v>
      </c>
      <c r="J266" s="31" t="str">
        <f t="shared" si="4"/>
        <v>67561 45036</v>
      </c>
    </row>
    <row r="267" spans="1:10" ht="16.5" x14ac:dyDescent="0.3">
      <c r="A267">
        <v>267</v>
      </c>
      <c r="B267" s="27" t="s">
        <v>205</v>
      </c>
      <c r="C267" s="46">
        <v>46696261320</v>
      </c>
      <c r="D267" s="62">
        <v>68915</v>
      </c>
      <c r="E267" s="63">
        <v>45036</v>
      </c>
      <c r="F267" s="64">
        <v>218.81</v>
      </c>
      <c r="G267" s="28" t="s">
        <v>208</v>
      </c>
      <c r="H267" t="s">
        <v>463</v>
      </c>
      <c r="I267" s="83">
        <v>45966</v>
      </c>
      <c r="J267" s="31" t="str">
        <f t="shared" si="4"/>
        <v>68915 45036</v>
      </c>
    </row>
    <row r="268" spans="1:10" ht="16.5" x14ac:dyDescent="0.3">
      <c r="A268">
        <v>268</v>
      </c>
      <c r="B268" s="27" t="s">
        <v>205</v>
      </c>
      <c r="C268" s="46">
        <v>36380253300</v>
      </c>
      <c r="D268" s="62">
        <v>27582</v>
      </c>
      <c r="E268" s="63">
        <v>45026</v>
      </c>
      <c r="F268" s="64">
        <v>9.08</v>
      </c>
      <c r="G268" s="28" t="s">
        <v>209</v>
      </c>
      <c r="H268" t="s">
        <v>463</v>
      </c>
      <c r="I268" s="83">
        <v>45966</v>
      </c>
      <c r="J268" s="31" t="str">
        <f t="shared" si="4"/>
        <v>27582 45026</v>
      </c>
    </row>
    <row r="269" spans="1:10" ht="16.5" x14ac:dyDescent="0.3">
      <c r="A269">
        <v>269</v>
      </c>
      <c r="B269" s="27" t="s">
        <v>205</v>
      </c>
      <c r="C269" s="46">
        <v>60729980383</v>
      </c>
      <c r="D269" s="62">
        <v>63253</v>
      </c>
      <c r="E269" s="63">
        <v>45046</v>
      </c>
      <c r="F269" s="64">
        <v>25.2</v>
      </c>
      <c r="G269" s="28" t="s">
        <v>208</v>
      </c>
      <c r="H269" t="s">
        <v>463</v>
      </c>
      <c r="I269" s="83">
        <v>45966</v>
      </c>
      <c r="J269" s="31" t="str">
        <f t="shared" si="4"/>
        <v>63253 45046</v>
      </c>
    </row>
    <row r="270" spans="1:10" ht="16.5" x14ac:dyDescent="0.3">
      <c r="A270">
        <v>270</v>
      </c>
      <c r="B270" s="27" t="s">
        <v>205</v>
      </c>
      <c r="C270" s="46">
        <v>64420183349</v>
      </c>
      <c r="D270" s="62">
        <v>68433</v>
      </c>
      <c r="E270" s="63">
        <v>45046</v>
      </c>
      <c r="F270" s="64">
        <v>203.12</v>
      </c>
      <c r="G270" s="28" t="s">
        <v>211</v>
      </c>
      <c r="H270" t="s">
        <v>463</v>
      </c>
      <c r="I270" s="83">
        <v>45966</v>
      </c>
      <c r="J270" s="31" t="str">
        <f t="shared" si="4"/>
        <v>68433 45046</v>
      </c>
    </row>
    <row r="271" spans="1:10" ht="16.5" x14ac:dyDescent="0.3">
      <c r="A271">
        <v>271</v>
      </c>
      <c r="B271" s="27" t="s">
        <v>205</v>
      </c>
      <c r="C271" s="46">
        <v>62683125380</v>
      </c>
      <c r="D271" s="62">
        <v>70323</v>
      </c>
      <c r="E271" s="63">
        <v>45046</v>
      </c>
      <c r="F271" s="64">
        <v>274.20999999999998</v>
      </c>
      <c r="G271" s="28" t="s">
        <v>210</v>
      </c>
      <c r="H271" t="s">
        <v>463</v>
      </c>
      <c r="I271" s="83">
        <v>45966</v>
      </c>
      <c r="J271" s="31" t="str">
        <f t="shared" si="4"/>
        <v>70323 45046</v>
      </c>
    </row>
    <row r="272" spans="1:10" ht="16.5" x14ac:dyDescent="0.3">
      <c r="A272">
        <v>272</v>
      </c>
      <c r="B272" s="27" t="s">
        <v>205</v>
      </c>
      <c r="C272" s="46" t="s">
        <v>127</v>
      </c>
      <c r="D272" s="62">
        <v>63421</v>
      </c>
      <c r="E272" s="63">
        <v>45066</v>
      </c>
      <c r="F272" s="64">
        <v>316.95999999999998</v>
      </c>
      <c r="G272" s="28" t="s">
        <v>214</v>
      </c>
      <c r="H272" t="s">
        <v>463</v>
      </c>
      <c r="I272" s="83">
        <v>45966</v>
      </c>
      <c r="J272" s="31" t="str">
        <f t="shared" si="4"/>
        <v>63421 45066</v>
      </c>
    </row>
    <row r="273" spans="1:10" ht="16.5" x14ac:dyDescent="0.3">
      <c r="A273">
        <v>273</v>
      </c>
      <c r="B273" s="27" t="s">
        <v>205</v>
      </c>
      <c r="C273" s="46">
        <v>61437227309</v>
      </c>
      <c r="D273" s="62">
        <v>67322</v>
      </c>
      <c r="E273" s="63">
        <v>45066</v>
      </c>
      <c r="F273" s="64">
        <v>265.89</v>
      </c>
      <c r="G273" s="28" t="s">
        <v>210</v>
      </c>
      <c r="H273" t="s">
        <v>463</v>
      </c>
      <c r="I273" s="83">
        <v>45966</v>
      </c>
      <c r="J273" s="31" t="str">
        <f t="shared" si="4"/>
        <v>67322 45066</v>
      </c>
    </row>
    <row r="274" spans="1:10" ht="16.5" x14ac:dyDescent="0.3">
      <c r="A274">
        <v>274</v>
      </c>
      <c r="B274" s="27" t="s">
        <v>205</v>
      </c>
      <c r="C274" s="46">
        <v>10176291962</v>
      </c>
      <c r="D274" s="62">
        <v>67561</v>
      </c>
      <c r="E274" s="63">
        <v>45066</v>
      </c>
      <c r="F274" s="64">
        <v>168.73</v>
      </c>
      <c r="G274" s="28" t="s">
        <v>212</v>
      </c>
      <c r="H274" t="s">
        <v>463</v>
      </c>
      <c r="I274" s="83">
        <v>45966</v>
      </c>
      <c r="J274" s="31" t="str">
        <f t="shared" si="4"/>
        <v>67561 45066</v>
      </c>
    </row>
    <row r="275" spans="1:10" ht="16.5" x14ac:dyDescent="0.3">
      <c r="A275">
        <v>275</v>
      </c>
      <c r="B275" s="27" t="s">
        <v>205</v>
      </c>
      <c r="C275" s="46">
        <v>46696261320</v>
      </c>
      <c r="D275" s="62">
        <v>68915</v>
      </c>
      <c r="E275" s="63">
        <v>45066</v>
      </c>
      <c r="F275" s="64">
        <v>182.81</v>
      </c>
      <c r="G275" s="28" t="s">
        <v>208</v>
      </c>
      <c r="H275" t="s">
        <v>463</v>
      </c>
      <c r="I275" s="83">
        <v>45966</v>
      </c>
      <c r="J275" s="31" t="str">
        <f t="shared" si="4"/>
        <v>68915 45066</v>
      </c>
    </row>
    <row r="276" spans="1:10" ht="16.5" x14ac:dyDescent="0.3">
      <c r="A276">
        <v>276</v>
      </c>
      <c r="B276" s="27" t="s">
        <v>205</v>
      </c>
      <c r="C276" s="46">
        <v>61079018336</v>
      </c>
      <c r="D276" s="62">
        <v>70121</v>
      </c>
      <c r="E276" s="63">
        <v>45066</v>
      </c>
      <c r="F276" s="64">
        <v>36</v>
      </c>
      <c r="G276" s="28" t="s">
        <v>210</v>
      </c>
      <c r="H276" t="s">
        <v>463</v>
      </c>
      <c r="I276" s="83">
        <v>45966</v>
      </c>
      <c r="J276" s="31" t="str">
        <f t="shared" si="4"/>
        <v>70121 45066</v>
      </c>
    </row>
    <row r="277" spans="1:10" ht="16.5" x14ac:dyDescent="0.3">
      <c r="A277">
        <v>277</v>
      </c>
      <c r="B277" s="27" t="s">
        <v>205</v>
      </c>
      <c r="C277" s="46">
        <v>61487655355</v>
      </c>
      <c r="D277" s="62">
        <v>70493</v>
      </c>
      <c r="E277" s="63">
        <v>45066</v>
      </c>
      <c r="F277" s="64">
        <v>280.77999999999997</v>
      </c>
      <c r="G277" s="28" t="s">
        <v>210</v>
      </c>
      <c r="H277" t="s">
        <v>463</v>
      </c>
      <c r="I277" s="83">
        <v>45966</v>
      </c>
      <c r="J277" s="31" t="str">
        <f t="shared" si="4"/>
        <v>70493 45066</v>
      </c>
    </row>
    <row r="278" spans="1:10" ht="16.5" x14ac:dyDescent="0.3">
      <c r="A278">
        <v>278</v>
      </c>
      <c r="B278" s="27" t="s">
        <v>205</v>
      </c>
      <c r="C278" s="46">
        <v>60913465399</v>
      </c>
      <c r="D278" s="62">
        <v>72022</v>
      </c>
      <c r="E278" s="63">
        <v>45066</v>
      </c>
      <c r="F278" s="64">
        <v>407.43</v>
      </c>
      <c r="G278" s="28" t="s">
        <v>210</v>
      </c>
      <c r="H278" t="s">
        <v>463</v>
      </c>
      <c r="I278" s="83">
        <v>45966</v>
      </c>
      <c r="J278" s="31" t="str">
        <f t="shared" si="4"/>
        <v>72022 45066</v>
      </c>
    </row>
    <row r="279" spans="1:10" ht="16.5" x14ac:dyDescent="0.3">
      <c r="A279">
        <v>279</v>
      </c>
      <c r="B279" s="27" t="s">
        <v>205</v>
      </c>
      <c r="C279" s="46">
        <v>36380253300</v>
      </c>
      <c r="D279" s="62">
        <v>27582</v>
      </c>
      <c r="E279" s="63">
        <v>45056</v>
      </c>
      <c r="F279" s="64">
        <v>7.3</v>
      </c>
      <c r="G279" s="28" t="s">
        <v>209</v>
      </c>
      <c r="H279" t="s">
        <v>463</v>
      </c>
      <c r="I279" s="83">
        <v>45966</v>
      </c>
      <c r="J279" s="31" t="str">
        <f t="shared" si="4"/>
        <v>27582 45056</v>
      </c>
    </row>
    <row r="280" spans="1:10" ht="16.5" x14ac:dyDescent="0.3">
      <c r="A280">
        <v>280</v>
      </c>
      <c r="B280" s="27" t="s">
        <v>205</v>
      </c>
      <c r="C280" s="46">
        <v>61053358300</v>
      </c>
      <c r="D280" s="62">
        <v>68678</v>
      </c>
      <c r="E280" s="63">
        <v>45066</v>
      </c>
      <c r="F280" s="64">
        <v>29.7</v>
      </c>
      <c r="G280" s="28" t="s">
        <v>210</v>
      </c>
      <c r="H280" t="s">
        <v>463</v>
      </c>
      <c r="I280" s="83">
        <v>45966</v>
      </c>
      <c r="J280" s="31" t="str">
        <f t="shared" si="4"/>
        <v>68678 45066</v>
      </c>
    </row>
    <row r="281" spans="1:10" ht="16.5" x14ac:dyDescent="0.3">
      <c r="A281">
        <v>281</v>
      </c>
      <c r="B281" s="27" t="s">
        <v>205</v>
      </c>
      <c r="C281" s="46">
        <v>64420183349</v>
      </c>
      <c r="D281" s="62">
        <v>68433</v>
      </c>
      <c r="E281" s="63">
        <v>45076</v>
      </c>
      <c r="F281" s="64">
        <v>207.58</v>
      </c>
      <c r="G281" s="28" t="s">
        <v>211</v>
      </c>
      <c r="H281" t="s">
        <v>463</v>
      </c>
      <c r="I281" s="83">
        <v>45966</v>
      </c>
      <c r="J281" s="31" t="str">
        <f t="shared" si="4"/>
        <v>68433 45076</v>
      </c>
    </row>
    <row r="282" spans="1:10" ht="16.5" x14ac:dyDescent="0.3">
      <c r="A282">
        <v>282</v>
      </c>
      <c r="B282" s="27" t="s">
        <v>205</v>
      </c>
      <c r="C282" s="46">
        <v>62683125380</v>
      </c>
      <c r="D282" s="62">
        <v>70323</v>
      </c>
      <c r="E282" s="63">
        <v>45076</v>
      </c>
      <c r="F282" s="64">
        <v>274.20999999999998</v>
      </c>
      <c r="G282" s="28" t="s">
        <v>210</v>
      </c>
      <c r="H282" t="s">
        <v>463</v>
      </c>
      <c r="I282" s="83">
        <v>45966</v>
      </c>
      <c r="J282" s="31" t="str">
        <f t="shared" si="4"/>
        <v>70323 45076</v>
      </c>
    </row>
    <row r="283" spans="1:10" ht="16.5" x14ac:dyDescent="0.3">
      <c r="A283">
        <v>283</v>
      </c>
      <c r="B283" s="27" t="s">
        <v>205</v>
      </c>
      <c r="C283" s="46">
        <v>88532887953</v>
      </c>
      <c r="D283" s="62">
        <v>70340</v>
      </c>
      <c r="E283" s="63">
        <v>45076</v>
      </c>
      <c r="F283" s="64">
        <v>2019.41</v>
      </c>
      <c r="G283" s="28" t="s">
        <v>211</v>
      </c>
      <c r="H283" t="s">
        <v>463</v>
      </c>
      <c r="I283" s="83">
        <v>45966</v>
      </c>
      <c r="J283" s="31" t="str">
        <f t="shared" si="4"/>
        <v>70340 45076</v>
      </c>
    </row>
    <row r="284" spans="1:10" ht="16.5" x14ac:dyDescent="0.3">
      <c r="A284">
        <v>284</v>
      </c>
      <c r="B284" s="27" t="s">
        <v>205</v>
      </c>
      <c r="C284" s="46">
        <v>25436538304</v>
      </c>
      <c r="D284" s="62">
        <v>71392</v>
      </c>
      <c r="E284" s="63">
        <v>45076</v>
      </c>
      <c r="F284" s="64">
        <v>850.58</v>
      </c>
      <c r="G284" s="28" t="s">
        <v>212</v>
      </c>
      <c r="H284" t="s">
        <v>463</v>
      </c>
      <c r="I284" s="83">
        <v>45966</v>
      </c>
      <c r="J284" s="31" t="str">
        <f t="shared" si="4"/>
        <v>71392 45076</v>
      </c>
    </row>
    <row r="285" spans="1:10" ht="16.5" x14ac:dyDescent="0.3">
      <c r="A285">
        <v>285</v>
      </c>
      <c r="B285" s="27" t="s">
        <v>205</v>
      </c>
      <c r="C285" s="46">
        <v>46696261320</v>
      </c>
      <c r="D285" s="62">
        <v>71947</v>
      </c>
      <c r="E285" s="63">
        <v>45076</v>
      </c>
      <c r="F285" s="64">
        <v>251.83</v>
      </c>
      <c r="G285" s="28" t="s">
        <v>208</v>
      </c>
      <c r="H285" t="s">
        <v>463</v>
      </c>
      <c r="I285" s="83">
        <v>45966</v>
      </c>
      <c r="J285" s="31" t="str">
        <f t="shared" si="4"/>
        <v>71947 45076</v>
      </c>
    </row>
    <row r="286" spans="1:10" ht="16.5" x14ac:dyDescent="0.3">
      <c r="A286">
        <v>286</v>
      </c>
      <c r="B286" s="27" t="s">
        <v>205</v>
      </c>
      <c r="C286" s="46">
        <v>70402361334</v>
      </c>
      <c r="D286" s="62">
        <v>37323</v>
      </c>
      <c r="E286" s="63">
        <v>45087</v>
      </c>
      <c r="F286" s="64">
        <v>165.2</v>
      </c>
      <c r="G286" s="28" t="s">
        <v>211</v>
      </c>
      <c r="H286" t="s">
        <v>463</v>
      </c>
      <c r="I286" s="83">
        <v>45966</v>
      </c>
      <c r="J286" s="31" t="str">
        <f t="shared" si="4"/>
        <v>37323 45087</v>
      </c>
    </row>
    <row r="287" spans="1:10" ht="16.5" x14ac:dyDescent="0.3">
      <c r="A287">
        <v>287</v>
      </c>
      <c r="B287" s="27" t="s">
        <v>205</v>
      </c>
      <c r="C287" s="46">
        <v>70402361334</v>
      </c>
      <c r="D287" s="62">
        <v>37324</v>
      </c>
      <c r="E287" s="63">
        <v>45087</v>
      </c>
      <c r="F287" s="64">
        <v>165.2</v>
      </c>
      <c r="G287" s="28" t="s">
        <v>211</v>
      </c>
      <c r="H287" t="s">
        <v>463</v>
      </c>
      <c r="I287" s="83">
        <v>45966</v>
      </c>
      <c r="J287" s="31" t="str">
        <f t="shared" si="4"/>
        <v>37324 45087</v>
      </c>
    </row>
    <row r="288" spans="1:10" ht="16.5" x14ac:dyDescent="0.3">
      <c r="A288">
        <v>288</v>
      </c>
      <c r="B288" s="27" t="s">
        <v>205</v>
      </c>
      <c r="C288" s="46">
        <v>83220445349</v>
      </c>
      <c r="D288" s="62">
        <v>71729</v>
      </c>
      <c r="E288" s="63">
        <v>45087</v>
      </c>
      <c r="F288" s="64">
        <v>752.48</v>
      </c>
      <c r="G288" s="28" t="s">
        <v>211</v>
      </c>
      <c r="H288" t="s">
        <v>463</v>
      </c>
      <c r="I288" s="83">
        <v>45966</v>
      </c>
      <c r="J288" s="31" t="str">
        <f t="shared" si="4"/>
        <v>71729 45087</v>
      </c>
    </row>
    <row r="289" spans="1:10" ht="16.5" x14ac:dyDescent="0.3">
      <c r="A289">
        <v>289</v>
      </c>
      <c r="B289" s="27" t="s">
        <v>205</v>
      </c>
      <c r="C289" s="46">
        <v>37820540249</v>
      </c>
      <c r="D289" s="62">
        <v>42954</v>
      </c>
      <c r="E289" s="63">
        <v>45102</v>
      </c>
      <c r="F289" s="64">
        <v>65.47</v>
      </c>
      <c r="G289" s="28" t="s">
        <v>209</v>
      </c>
      <c r="H289" t="s">
        <v>463</v>
      </c>
      <c r="I289" s="83">
        <v>45966</v>
      </c>
      <c r="J289" s="31" t="str">
        <f t="shared" si="4"/>
        <v>42954 45102</v>
      </c>
    </row>
    <row r="290" spans="1:10" ht="16.5" x14ac:dyDescent="0.3">
      <c r="A290">
        <v>290</v>
      </c>
      <c r="B290" s="27" t="s">
        <v>205</v>
      </c>
      <c r="C290" s="46">
        <v>61407938312</v>
      </c>
      <c r="D290" s="62">
        <v>65794</v>
      </c>
      <c r="E290" s="63">
        <v>45097</v>
      </c>
      <c r="F290" s="64">
        <v>182.35</v>
      </c>
      <c r="G290" s="28" t="s">
        <v>210</v>
      </c>
      <c r="H290" t="s">
        <v>463</v>
      </c>
      <c r="I290" s="83">
        <v>45966</v>
      </c>
      <c r="J290" s="31" t="str">
        <f t="shared" si="4"/>
        <v>65794 45097</v>
      </c>
    </row>
    <row r="291" spans="1:10" ht="16.5" x14ac:dyDescent="0.3">
      <c r="A291">
        <v>291</v>
      </c>
      <c r="B291" s="27" t="s">
        <v>205</v>
      </c>
      <c r="C291" s="46">
        <v>61437227309</v>
      </c>
      <c r="D291" s="62">
        <v>67322</v>
      </c>
      <c r="E291" s="63">
        <v>45097</v>
      </c>
      <c r="F291" s="64">
        <v>265.89</v>
      </c>
      <c r="G291" s="28" t="s">
        <v>210</v>
      </c>
      <c r="H291" t="s">
        <v>463</v>
      </c>
      <c r="I291" s="83">
        <v>45966</v>
      </c>
      <c r="J291" s="31" t="str">
        <f t="shared" si="4"/>
        <v>67322 45097</v>
      </c>
    </row>
    <row r="292" spans="1:10" ht="16.5" x14ac:dyDescent="0.3">
      <c r="A292">
        <v>292</v>
      </c>
      <c r="B292" s="27" t="s">
        <v>205</v>
      </c>
      <c r="C292" s="46">
        <v>10176291962</v>
      </c>
      <c r="D292" s="62">
        <v>67561</v>
      </c>
      <c r="E292" s="63">
        <v>45097</v>
      </c>
      <c r="F292" s="64">
        <v>9.11</v>
      </c>
      <c r="G292" s="28" t="s">
        <v>212</v>
      </c>
      <c r="H292" t="s">
        <v>463</v>
      </c>
      <c r="I292" s="83">
        <v>45966</v>
      </c>
      <c r="J292" s="31" t="str">
        <f t="shared" si="4"/>
        <v>67561 45097</v>
      </c>
    </row>
    <row r="293" spans="1:10" ht="16.5" x14ac:dyDescent="0.3">
      <c r="A293">
        <v>293</v>
      </c>
      <c r="B293" s="27" t="s">
        <v>205</v>
      </c>
      <c r="C293" s="46">
        <v>27776565334</v>
      </c>
      <c r="D293" s="62">
        <v>69641</v>
      </c>
      <c r="E293" s="63">
        <v>45097</v>
      </c>
      <c r="F293" s="64">
        <v>808.41</v>
      </c>
      <c r="G293" s="28" t="s">
        <v>212</v>
      </c>
      <c r="H293" t="s">
        <v>463</v>
      </c>
      <c r="I293" s="83">
        <v>45966</v>
      </c>
      <c r="J293" s="31" t="str">
        <f t="shared" si="4"/>
        <v>69641 45097</v>
      </c>
    </row>
    <row r="294" spans="1:10" ht="16.5" x14ac:dyDescent="0.3">
      <c r="A294">
        <v>294</v>
      </c>
      <c r="B294" s="27" t="s">
        <v>205</v>
      </c>
      <c r="C294" s="46" t="s">
        <v>139</v>
      </c>
      <c r="D294" s="62">
        <v>69939</v>
      </c>
      <c r="E294" s="63">
        <v>45097</v>
      </c>
      <c r="F294" s="64">
        <v>126.95</v>
      </c>
      <c r="G294" s="28" t="s">
        <v>214</v>
      </c>
      <c r="H294" t="s">
        <v>463</v>
      </c>
      <c r="I294" s="83">
        <v>45966</v>
      </c>
      <c r="J294" s="31" t="str">
        <f t="shared" si="4"/>
        <v>69939 45097</v>
      </c>
    </row>
    <row r="295" spans="1:10" ht="16.5" x14ac:dyDescent="0.3">
      <c r="A295">
        <v>295</v>
      </c>
      <c r="B295" s="27" t="s">
        <v>205</v>
      </c>
      <c r="C295" s="46">
        <v>61487655355</v>
      </c>
      <c r="D295" s="62">
        <v>70493</v>
      </c>
      <c r="E295" s="63">
        <v>45097</v>
      </c>
      <c r="F295" s="64">
        <v>111.11</v>
      </c>
      <c r="G295" s="28" t="s">
        <v>210</v>
      </c>
      <c r="H295" t="s">
        <v>463</v>
      </c>
      <c r="I295" s="83">
        <v>45966</v>
      </c>
      <c r="J295" s="31" t="str">
        <f t="shared" si="4"/>
        <v>70493 45097</v>
      </c>
    </row>
    <row r="296" spans="1:10" ht="16.5" x14ac:dyDescent="0.3">
      <c r="A296">
        <v>296</v>
      </c>
      <c r="B296" s="27" t="s">
        <v>205</v>
      </c>
      <c r="C296" s="46">
        <v>60268966354</v>
      </c>
      <c r="D296" s="62">
        <v>70737</v>
      </c>
      <c r="E296" s="63">
        <v>45097</v>
      </c>
      <c r="F296" s="64">
        <v>274.20999999999998</v>
      </c>
      <c r="G296" s="28" t="s">
        <v>208</v>
      </c>
      <c r="H296" t="s">
        <v>463</v>
      </c>
      <c r="I296" s="83">
        <v>45966</v>
      </c>
      <c r="J296" s="31" t="str">
        <f t="shared" si="4"/>
        <v>70737 45097</v>
      </c>
    </row>
    <row r="297" spans="1:10" ht="16.5" x14ac:dyDescent="0.3">
      <c r="A297">
        <v>297</v>
      </c>
      <c r="B297" s="27" t="s">
        <v>205</v>
      </c>
      <c r="C297" s="46">
        <v>60913465399</v>
      </c>
      <c r="D297" s="62">
        <v>72022</v>
      </c>
      <c r="E297" s="63">
        <v>45097</v>
      </c>
      <c r="F297" s="64">
        <v>407.43</v>
      </c>
      <c r="G297" s="28" t="s">
        <v>210</v>
      </c>
      <c r="H297" t="s">
        <v>463</v>
      </c>
      <c r="I297" s="83">
        <v>45966</v>
      </c>
      <c r="J297" s="31" t="str">
        <f t="shared" si="4"/>
        <v>72022 45097</v>
      </c>
    </row>
    <row r="298" spans="1:10" ht="16.5" x14ac:dyDescent="0.3">
      <c r="A298">
        <v>298</v>
      </c>
      <c r="B298" s="27" t="s">
        <v>205</v>
      </c>
      <c r="C298" s="46">
        <v>67662951200</v>
      </c>
      <c r="D298" s="62">
        <v>44395</v>
      </c>
      <c r="E298" s="63">
        <v>45097</v>
      </c>
      <c r="F298" s="64">
        <v>36.270000000000003</v>
      </c>
      <c r="G298" s="28" t="s">
        <v>211</v>
      </c>
      <c r="H298" t="s">
        <v>463</v>
      </c>
      <c r="I298" s="83">
        <v>45966</v>
      </c>
      <c r="J298" s="31" t="str">
        <f t="shared" si="4"/>
        <v>44395 45097</v>
      </c>
    </row>
    <row r="299" spans="1:10" ht="16.5" x14ac:dyDescent="0.3">
      <c r="A299">
        <v>299</v>
      </c>
      <c r="B299" s="27" t="s">
        <v>205</v>
      </c>
      <c r="C299" s="46">
        <v>60729980383</v>
      </c>
      <c r="D299" s="62">
        <v>63253</v>
      </c>
      <c r="E299" s="63">
        <v>45107</v>
      </c>
      <c r="F299" s="64">
        <v>52.12</v>
      </c>
      <c r="G299" s="28" t="s">
        <v>208</v>
      </c>
      <c r="H299" t="s">
        <v>463</v>
      </c>
      <c r="I299" s="83">
        <v>45966</v>
      </c>
      <c r="J299" s="31" t="str">
        <f t="shared" si="4"/>
        <v>63253 45107</v>
      </c>
    </row>
    <row r="300" spans="1:10" ht="16.5" x14ac:dyDescent="0.3">
      <c r="A300">
        <v>300</v>
      </c>
      <c r="B300" s="27" t="s">
        <v>205</v>
      </c>
      <c r="C300" s="46">
        <v>93828977120</v>
      </c>
      <c r="D300" s="62">
        <v>69747</v>
      </c>
      <c r="E300" s="63">
        <v>45087</v>
      </c>
      <c r="F300" s="64">
        <v>16.8</v>
      </c>
      <c r="G300" s="28" t="s">
        <v>211</v>
      </c>
      <c r="H300" t="s">
        <v>463</v>
      </c>
      <c r="I300" s="83">
        <v>45966</v>
      </c>
      <c r="J300" s="31" t="str">
        <f t="shared" si="4"/>
        <v>69747 45087</v>
      </c>
    </row>
    <row r="301" spans="1:10" ht="16.5" x14ac:dyDescent="0.3">
      <c r="A301">
        <v>301</v>
      </c>
      <c r="B301" s="27" t="s">
        <v>205</v>
      </c>
      <c r="C301" s="46" t="s">
        <v>132</v>
      </c>
      <c r="D301" s="62">
        <v>70314</v>
      </c>
      <c r="E301" s="63">
        <v>45107</v>
      </c>
      <c r="F301" s="64">
        <v>36</v>
      </c>
      <c r="G301" s="28" t="s">
        <v>214</v>
      </c>
      <c r="H301" t="s">
        <v>463</v>
      </c>
      <c r="I301" s="83">
        <v>45966</v>
      </c>
      <c r="J301" s="31" t="str">
        <f t="shared" si="4"/>
        <v>70314 45107</v>
      </c>
    </row>
    <row r="302" spans="1:10" ht="16.5" x14ac:dyDescent="0.3">
      <c r="A302">
        <v>302</v>
      </c>
      <c r="B302" s="27" t="s">
        <v>205</v>
      </c>
      <c r="C302" s="46">
        <v>62353006388</v>
      </c>
      <c r="D302" s="62">
        <v>70472</v>
      </c>
      <c r="E302" s="63">
        <v>45097</v>
      </c>
      <c r="F302" s="64">
        <v>76.44</v>
      </c>
      <c r="G302" s="28" t="s">
        <v>210</v>
      </c>
      <c r="H302" t="s">
        <v>463</v>
      </c>
      <c r="I302" s="83">
        <v>45966</v>
      </c>
      <c r="J302" s="31" t="str">
        <f t="shared" si="4"/>
        <v>70472 45097</v>
      </c>
    </row>
    <row r="303" spans="1:10" ht="16.5" x14ac:dyDescent="0.3">
      <c r="A303">
        <v>303</v>
      </c>
      <c r="B303" s="27" t="s">
        <v>205</v>
      </c>
      <c r="C303" s="46" t="s">
        <v>126</v>
      </c>
      <c r="D303" s="62">
        <v>15206</v>
      </c>
      <c r="E303" s="63">
        <v>45107</v>
      </c>
      <c r="F303" s="64">
        <v>944.11</v>
      </c>
      <c r="G303" s="28" t="s">
        <v>214</v>
      </c>
      <c r="H303" t="s">
        <v>463</v>
      </c>
      <c r="I303" s="83">
        <v>45966</v>
      </c>
      <c r="J303" s="31" t="str">
        <f t="shared" si="4"/>
        <v>15206 45107</v>
      </c>
    </row>
    <row r="304" spans="1:10" ht="16.5" x14ac:dyDescent="0.3">
      <c r="A304">
        <v>304</v>
      </c>
      <c r="B304" s="27" t="s">
        <v>205</v>
      </c>
      <c r="C304" s="46" t="s">
        <v>137</v>
      </c>
      <c r="D304" s="62">
        <v>67377</v>
      </c>
      <c r="E304" s="63">
        <v>45107</v>
      </c>
      <c r="F304" s="64">
        <v>328.81</v>
      </c>
      <c r="G304" s="28" t="s">
        <v>214</v>
      </c>
      <c r="H304" t="s">
        <v>463</v>
      </c>
      <c r="I304" s="83">
        <v>45966</v>
      </c>
      <c r="J304" s="31" t="str">
        <f t="shared" si="4"/>
        <v>67377 45107</v>
      </c>
    </row>
    <row r="305" spans="1:10" ht="16.5" x14ac:dyDescent="0.3">
      <c r="A305">
        <v>305</v>
      </c>
      <c r="B305" s="27" t="s">
        <v>205</v>
      </c>
      <c r="C305" s="46">
        <v>65013239320</v>
      </c>
      <c r="D305" s="62">
        <v>68751</v>
      </c>
      <c r="E305" s="63">
        <v>45107</v>
      </c>
      <c r="F305" s="64">
        <v>203.12</v>
      </c>
      <c r="G305" s="28" t="s">
        <v>211</v>
      </c>
      <c r="H305" t="s">
        <v>463</v>
      </c>
      <c r="I305" s="83">
        <v>45966</v>
      </c>
      <c r="J305" s="31" t="str">
        <f t="shared" si="4"/>
        <v>68751 45107</v>
      </c>
    </row>
    <row r="306" spans="1:10" ht="16.5" x14ac:dyDescent="0.3">
      <c r="A306">
        <v>306</v>
      </c>
      <c r="B306" s="27" t="s">
        <v>205</v>
      </c>
      <c r="C306" s="46">
        <v>61243375337</v>
      </c>
      <c r="D306" s="62">
        <v>69506</v>
      </c>
      <c r="E306" s="63">
        <v>45107</v>
      </c>
      <c r="F306" s="64">
        <v>322.49</v>
      </c>
      <c r="G306" s="28" t="s">
        <v>210</v>
      </c>
      <c r="H306" t="s">
        <v>463</v>
      </c>
      <c r="I306" s="83">
        <v>45966</v>
      </c>
      <c r="J306" s="31" t="str">
        <f t="shared" si="4"/>
        <v>69506 45107</v>
      </c>
    </row>
    <row r="307" spans="1:10" ht="16.5" x14ac:dyDescent="0.3">
      <c r="A307">
        <v>307</v>
      </c>
      <c r="B307" s="27" t="s">
        <v>205</v>
      </c>
      <c r="C307" s="46">
        <v>88532887953</v>
      </c>
      <c r="D307" s="62">
        <v>70340</v>
      </c>
      <c r="E307" s="63">
        <v>45107</v>
      </c>
      <c r="F307" s="64">
        <v>2082.29</v>
      </c>
      <c r="G307" s="28" t="s">
        <v>211</v>
      </c>
      <c r="H307" t="s">
        <v>463</v>
      </c>
      <c r="I307" s="83">
        <v>45966</v>
      </c>
      <c r="J307" s="31" t="str">
        <f t="shared" si="4"/>
        <v>70340 45107</v>
      </c>
    </row>
    <row r="308" spans="1:10" ht="16.5" x14ac:dyDescent="0.3">
      <c r="A308">
        <v>308</v>
      </c>
      <c r="B308" s="27" t="s">
        <v>205</v>
      </c>
      <c r="C308" s="46">
        <v>25436538304</v>
      </c>
      <c r="D308" s="62">
        <v>71392</v>
      </c>
      <c r="E308" s="63">
        <v>45107</v>
      </c>
      <c r="F308" s="64">
        <v>850.58</v>
      </c>
      <c r="G308" s="28" t="s">
        <v>212</v>
      </c>
      <c r="H308" t="s">
        <v>463</v>
      </c>
      <c r="I308" s="83">
        <v>45966</v>
      </c>
      <c r="J308" s="31" t="str">
        <f t="shared" si="4"/>
        <v>71392 45107</v>
      </c>
    </row>
    <row r="309" spans="1:10" ht="16.5" x14ac:dyDescent="0.3">
      <c r="A309">
        <v>309</v>
      </c>
      <c r="B309" s="27" t="s">
        <v>205</v>
      </c>
      <c r="C309" s="46">
        <v>70402361334</v>
      </c>
      <c r="D309" s="62">
        <v>37323</v>
      </c>
      <c r="E309" s="63">
        <v>45117</v>
      </c>
      <c r="F309" s="64">
        <v>165.2</v>
      </c>
      <c r="G309" s="28" t="s">
        <v>211</v>
      </c>
      <c r="H309" t="s">
        <v>463</v>
      </c>
      <c r="I309" s="83">
        <v>45966</v>
      </c>
      <c r="J309" s="31" t="str">
        <f t="shared" si="4"/>
        <v>37323 45117</v>
      </c>
    </row>
    <row r="310" spans="1:10" ht="16.5" x14ac:dyDescent="0.3">
      <c r="A310">
        <v>310</v>
      </c>
      <c r="B310" s="27" t="s">
        <v>205</v>
      </c>
      <c r="C310" s="46">
        <v>70402361334</v>
      </c>
      <c r="D310" s="62">
        <v>37324</v>
      </c>
      <c r="E310" s="63">
        <v>45117</v>
      </c>
      <c r="F310" s="64">
        <v>174.2</v>
      </c>
      <c r="G310" s="28" t="s">
        <v>211</v>
      </c>
      <c r="H310" t="s">
        <v>463</v>
      </c>
      <c r="I310" s="83">
        <v>45966</v>
      </c>
      <c r="J310" s="31" t="str">
        <f t="shared" si="4"/>
        <v>37324 45117</v>
      </c>
    </row>
    <row r="311" spans="1:10" ht="16.5" x14ac:dyDescent="0.3">
      <c r="A311">
        <v>311</v>
      </c>
      <c r="B311" s="27" t="s">
        <v>205</v>
      </c>
      <c r="C311" s="46">
        <v>46695958300</v>
      </c>
      <c r="D311" s="62">
        <v>40742</v>
      </c>
      <c r="E311" s="63">
        <v>45117</v>
      </c>
      <c r="F311" s="64">
        <v>384.72</v>
      </c>
      <c r="G311" s="28" t="s">
        <v>208</v>
      </c>
      <c r="H311" t="s">
        <v>463</v>
      </c>
      <c r="I311" s="83">
        <v>45966</v>
      </c>
      <c r="J311" s="31" t="str">
        <f t="shared" si="4"/>
        <v>40742 45117</v>
      </c>
    </row>
    <row r="312" spans="1:10" ht="16.5" x14ac:dyDescent="0.3">
      <c r="A312">
        <v>312</v>
      </c>
      <c r="B312" s="27" t="s">
        <v>205</v>
      </c>
      <c r="C312" s="46">
        <v>83220445349</v>
      </c>
      <c r="D312" s="62">
        <v>71729</v>
      </c>
      <c r="E312" s="63">
        <v>45117</v>
      </c>
      <c r="F312" s="64">
        <v>212.7</v>
      </c>
      <c r="G312" s="28" t="s">
        <v>211</v>
      </c>
      <c r="H312" t="s">
        <v>463</v>
      </c>
      <c r="I312" s="83">
        <v>45966</v>
      </c>
      <c r="J312" s="31" t="str">
        <f t="shared" si="4"/>
        <v>71729 45117</v>
      </c>
    </row>
    <row r="313" spans="1:10" ht="16.5" x14ac:dyDescent="0.3">
      <c r="A313">
        <v>313</v>
      </c>
      <c r="B313" s="27" t="s">
        <v>205</v>
      </c>
      <c r="C313" s="46">
        <v>37820540249</v>
      </c>
      <c r="D313" s="62">
        <v>42954</v>
      </c>
      <c r="E313" s="63">
        <v>45132</v>
      </c>
      <c r="F313" s="64">
        <v>25.58</v>
      </c>
      <c r="G313" s="28" t="s">
        <v>209</v>
      </c>
      <c r="H313" t="s">
        <v>463</v>
      </c>
      <c r="I313" s="83">
        <v>45966</v>
      </c>
      <c r="J313" s="31" t="str">
        <f t="shared" si="4"/>
        <v>42954 45132</v>
      </c>
    </row>
    <row r="314" spans="1:10" ht="16.5" x14ac:dyDescent="0.3">
      <c r="A314">
        <v>314</v>
      </c>
      <c r="B314" s="27" t="s">
        <v>205</v>
      </c>
      <c r="C314" s="46" t="s">
        <v>138</v>
      </c>
      <c r="D314" s="62">
        <v>51899</v>
      </c>
      <c r="E314" s="63">
        <v>45127</v>
      </c>
      <c r="F314" s="64">
        <v>1319.11</v>
      </c>
      <c r="G314" s="28" t="s">
        <v>214</v>
      </c>
      <c r="H314" t="s">
        <v>463</v>
      </c>
      <c r="I314" s="83">
        <v>45966</v>
      </c>
      <c r="J314" s="31" t="str">
        <f t="shared" si="4"/>
        <v>51899 45127</v>
      </c>
    </row>
    <row r="315" spans="1:10" ht="16.5" x14ac:dyDescent="0.3">
      <c r="A315">
        <v>315</v>
      </c>
      <c r="B315" s="27" t="s">
        <v>205</v>
      </c>
      <c r="C315" s="46">
        <v>61407938312</v>
      </c>
      <c r="D315" s="62">
        <v>65794</v>
      </c>
      <c r="E315" s="63">
        <v>45127</v>
      </c>
      <c r="F315" s="64">
        <v>199.91</v>
      </c>
      <c r="G315" s="28" t="s">
        <v>210</v>
      </c>
      <c r="H315" t="s">
        <v>463</v>
      </c>
      <c r="I315" s="83">
        <v>45966</v>
      </c>
      <c r="J315" s="31" t="str">
        <f t="shared" si="4"/>
        <v>65794 45127</v>
      </c>
    </row>
    <row r="316" spans="1:10" ht="16.5" x14ac:dyDescent="0.3">
      <c r="A316">
        <v>316</v>
      </c>
      <c r="B316" s="27" t="s">
        <v>205</v>
      </c>
      <c r="C316" s="46">
        <v>99747391287</v>
      </c>
      <c r="D316" s="62">
        <v>66144</v>
      </c>
      <c r="E316" s="63">
        <v>45127</v>
      </c>
      <c r="F316" s="64">
        <v>208.69</v>
      </c>
      <c r="G316" s="28" t="s">
        <v>213</v>
      </c>
      <c r="H316" t="s">
        <v>463</v>
      </c>
      <c r="I316" s="83">
        <v>45966</v>
      </c>
      <c r="J316" s="31" t="str">
        <f t="shared" si="4"/>
        <v>66144 45127</v>
      </c>
    </row>
    <row r="317" spans="1:10" ht="16.5" x14ac:dyDescent="0.3">
      <c r="A317">
        <v>317</v>
      </c>
      <c r="B317" s="27" t="s">
        <v>205</v>
      </c>
      <c r="C317" s="46">
        <v>46696261320</v>
      </c>
      <c r="D317" s="62">
        <v>68915</v>
      </c>
      <c r="E317" s="63">
        <v>45127</v>
      </c>
      <c r="F317" s="64">
        <v>36</v>
      </c>
      <c r="G317" s="28" t="s">
        <v>208</v>
      </c>
      <c r="H317" t="s">
        <v>463</v>
      </c>
      <c r="I317" s="83">
        <v>45966</v>
      </c>
      <c r="J317" s="31" t="str">
        <f t="shared" si="4"/>
        <v>68915 45127</v>
      </c>
    </row>
    <row r="318" spans="1:10" ht="16.5" x14ac:dyDescent="0.3">
      <c r="A318">
        <v>318</v>
      </c>
      <c r="B318" s="27" t="s">
        <v>205</v>
      </c>
      <c r="C318" s="46">
        <v>61487655355</v>
      </c>
      <c r="D318" s="62">
        <v>70493</v>
      </c>
      <c r="E318" s="63">
        <v>45127</v>
      </c>
      <c r="F318" s="64">
        <v>17.2</v>
      </c>
      <c r="G318" s="28" t="s">
        <v>210</v>
      </c>
      <c r="H318" t="s">
        <v>463</v>
      </c>
      <c r="I318" s="83">
        <v>45966</v>
      </c>
      <c r="J318" s="31" t="str">
        <f t="shared" si="4"/>
        <v>70493 45127</v>
      </c>
    </row>
    <row r="319" spans="1:10" ht="16.5" x14ac:dyDescent="0.3">
      <c r="A319">
        <v>319</v>
      </c>
      <c r="B319" s="27" t="s">
        <v>205</v>
      </c>
      <c r="C319" s="46">
        <v>77372085349</v>
      </c>
      <c r="D319" s="62">
        <v>44983</v>
      </c>
      <c r="E319" s="63">
        <v>45127</v>
      </c>
      <c r="F319" s="64">
        <v>26.79</v>
      </c>
      <c r="G319" s="28" t="s">
        <v>211</v>
      </c>
      <c r="H319" t="s">
        <v>463</v>
      </c>
      <c r="I319" s="83">
        <v>45966</v>
      </c>
      <c r="J319" s="31" t="str">
        <f t="shared" si="4"/>
        <v>44983 45127</v>
      </c>
    </row>
    <row r="320" spans="1:10" ht="16.5" x14ac:dyDescent="0.3">
      <c r="A320">
        <v>320</v>
      </c>
      <c r="B320" s="27" t="s">
        <v>205</v>
      </c>
      <c r="C320" s="46">
        <v>62221596307</v>
      </c>
      <c r="D320" s="62">
        <v>71870</v>
      </c>
      <c r="E320" s="63">
        <v>45127</v>
      </c>
      <c r="F320" s="64">
        <v>26.46</v>
      </c>
      <c r="G320" s="28" t="s">
        <v>210</v>
      </c>
      <c r="H320" t="s">
        <v>463</v>
      </c>
      <c r="I320" s="83">
        <v>45966</v>
      </c>
      <c r="J320" s="31" t="str">
        <f t="shared" si="4"/>
        <v>71870 45127</v>
      </c>
    </row>
    <row r="321" spans="1:10" ht="16.5" x14ac:dyDescent="0.3">
      <c r="A321">
        <v>321</v>
      </c>
      <c r="B321" s="27" t="s">
        <v>205</v>
      </c>
      <c r="C321" s="46" t="s">
        <v>126</v>
      </c>
      <c r="D321" s="62">
        <v>15206</v>
      </c>
      <c r="E321" s="63">
        <v>45137</v>
      </c>
      <c r="F321" s="64">
        <v>1035.03</v>
      </c>
      <c r="G321" s="28" t="s">
        <v>214</v>
      </c>
      <c r="H321" t="s">
        <v>463</v>
      </c>
      <c r="I321" s="83">
        <v>45966</v>
      </c>
      <c r="J321" s="31" t="str">
        <f t="shared" si="4"/>
        <v>15206 45137</v>
      </c>
    </row>
    <row r="322" spans="1:10" ht="16.5" x14ac:dyDescent="0.3">
      <c r="A322">
        <v>322</v>
      </c>
      <c r="B322" s="27" t="s">
        <v>205</v>
      </c>
      <c r="C322" s="46">
        <v>34450076320</v>
      </c>
      <c r="D322" s="62">
        <v>29779</v>
      </c>
      <c r="E322" s="63">
        <v>45137</v>
      </c>
      <c r="F322" s="64">
        <v>227.07</v>
      </c>
      <c r="G322" s="28" t="s">
        <v>209</v>
      </c>
      <c r="H322" t="s">
        <v>463</v>
      </c>
      <c r="I322" s="83">
        <v>45966</v>
      </c>
      <c r="J322" s="31" t="str">
        <f t="shared" ref="J322:J385" si="5">_xlfn.CONCAT(D322," ",E322)</f>
        <v>29779 45137</v>
      </c>
    </row>
    <row r="323" spans="1:10" ht="16.5" x14ac:dyDescent="0.3">
      <c r="A323">
        <v>323</v>
      </c>
      <c r="B323" s="27" t="s">
        <v>205</v>
      </c>
      <c r="C323" s="46">
        <v>34450076320</v>
      </c>
      <c r="D323" s="62">
        <v>29821</v>
      </c>
      <c r="E323" s="63">
        <v>45137</v>
      </c>
      <c r="F323" s="64">
        <v>281.43</v>
      </c>
      <c r="G323" s="28" t="s">
        <v>209</v>
      </c>
      <c r="H323" t="s">
        <v>463</v>
      </c>
      <c r="I323" s="83">
        <v>45966</v>
      </c>
      <c r="J323" s="31" t="str">
        <f t="shared" si="5"/>
        <v>29821 45137</v>
      </c>
    </row>
    <row r="324" spans="1:10" ht="16.5" x14ac:dyDescent="0.3">
      <c r="A324">
        <v>324</v>
      </c>
      <c r="B324" s="27" t="s">
        <v>205</v>
      </c>
      <c r="C324" s="46">
        <v>65821041368</v>
      </c>
      <c r="D324" s="62">
        <v>33416</v>
      </c>
      <c r="E324" s="63">
        <v>45137</v>
      </c>
      <c r="F324" s="64">
        <v>592.36</v>
      </c>
      <c r="G324" s="28" t="s">
        <v>211</v>
      </c>
      <c r="H324" t="s">
        <v>463</v>
      </c>
      <c r="I324" s="83">
        <v>45966</v>
      </c>
      <c r="J324" s="31" t="str">
        <f t="shared" si="5"/>
        <v>33416 45137</v>
      </c>
    </row>
    <row r="325" spans="1:10" ht="16.5" x14ac:dyDescent="0.3">
      <c r="A325">
        <v>325</v>
      </c>
      <c r="B325" s="27" t="s">
        <v>205</v>
      </c>
      <c r="C325" s="46" t="s">
        <v>137</v>
      </c>
      <c r="D325" s="62">
        <v>67377</v>
      </c>
      <c r="E325" s="63">
        <v>45137</v>
      </c>
      <c r="F325" s="64">
        <v>388.7</v>
      </c>
      <c r="G325" s="28" t="s">
        <v>214</v>
      </c>
      <c r="H325" t="s">
        <v>463</v>
      </c>
      <c r="I325" s="83">
        <v>45966</v>
      </c>
      <c r="J325" s="31" t="str">
        <f t="shared" si="5"/>
        <v>67377 45137</v>
      </c>
    </row>
    <row r="326" spans="1:10" ht="16.5" x14ac:dyDescent="0.3">
      <c r="A326">
        <v>326</v>
      </c>
      <c r="B326" s="27" t="s">
        <v>205</v>
      </c>
      <c r="C326" s="46">
        <v>93393644300</v>
      </c>
      <c r="D326" s="62">
        <v>68035</v>
      </c>
      <c r="E326" s="63">
        <v>45137</v>
      </c>
      <c r="F326" s="64">
        <v>217.74</v>
      </c>
      <c r="G326" s="28" t="s">
        <v>211</v>
      </c>
      <c r="H326" t="s">
        <v>463</v>
      </c>
      <c r="I326" s="83">
        <v>45966</v>
      </c>
      <c r="J326" s="31" t="str">
        <f t="shared" si="5"/>
        <v>68035 45137</v>
      </c>
    </row>
    <row r="327" spans="1:10" ht="16.5" x14ac:dyDescent="0.3">
      <c r="A327">
        <v>327</v>
      </c>
      <c r="B327" s="27" t="s">
        <v>205</v>
      </c>
      <c r="C327" s="46">
        <v>61243375337</v>
      </c>
      <c r="D327" s="62">
        <v>69506</v>
      </c>
      <c r="E327" s="63">
        <v>45137</v>
      </c>
      <c r="F327" s="64">
        <v>349.98</v>
      </c>
      <c r="G327" s="28" t="s">
        <v>210</v>
      </c>
      <c r="H327" t="s">
        <v>463</v>
      </c>
      <c r="I327" s="83">
        <v>45966</v>
      </c>
      <c r="J327" s="31" t="str">
        <f t="shared" si="5"/>
        <v>69506 45137</v>
      </c>
    </row>
    <row r="328" spans="1:10" ht="16.5" x14ac:dyDescent="0.3">
      <c r="A328">
        <v>328</v>
      </c>
      <c r="B328" s="27" t="s">
        <v>205</v>
      </c>
      <c r="C328" s="46">
        <v>62683125380</v>
      </c>
      <c r="D328" s="62">
        <v>70323</v>
      </c>
      <c r="E328" s="63">
        <v>45137</v>
      </c>
      <c r="F328" s="64">
        <v>36</v>
      </c>
      <c r="G328" s="28" t="s">
        <v>210</v>
      </c>
      <c r="H328" t="s">
        <v>463</v>
      </c>
      <c r="I328" s="83">
        <v>45966</v>
      </c>
      <c r="J328" s="31" t="str">
        <f t="shared" si="5"/>
        <v>70323 45137</v>
      </c>
    </row>
    <row r="329" spans="1:10" ht="16.5" x14ac:dyDescent="0.3">
      <c r="A329">
        <v>329</v>
      </c>
      <c r="B329" s="27" t="s">
        <v>205</v>
      </c>
      <c r="C329" s="46">
        <v>70402361334</v>
      </c>
      <c r="D329" s="62">
        <v>37324</v>
      </c>
      <c r="E329" s="63">
        <v>45148</v>
      </c>
      <c r="F329" s="64">
        <v>7.65</v>
      </c>
      <c r="G329" s="28" t="s">
        <v>211</v>
      </c>
      <c r="H329" t="s">
        <v>463</v>
      </c>
      <c r="I329" s="83">
        <v>45966</v>
      </c>
      <c r="J329" s="31" t="str">
        <f t="shared" si="5"/>
        <v>37324 45148</v>
      </c>
    </row>
    <row r="330" spans="1:10" ht="16.5" x14ac:dyDescent="0.3">
      <c r="A330">
        <v>330</v>
      </c>
      <c r="B330" s="27" t="s">
        <v>205</v>
      </c>
      <c r="C330" s="46">
        <v>46695958300</v>
      </c>
      <c r="D330" s="62">
        <v>40742</v>
      </c>
      <c r="E330" s="63">
        <v>45148</v>
      </c>
      <c r="F330" s="64">
        <v>378.46</v>
      </c>
      <c r="G330" s="28" t="s">
        <v>208</v>
      </c>
      <c r="H330" t="s">
        <v>463</v>
      </c>
      <c r="I330" s="83">
        <v>45966</v>
      </c>
      <c r="J330" s="31" t="str">
        <f t="shared" si="5"/>
        <v>40742 45148</v>
      </c>
    </row>
    <row r="331" spans="1:10" ht="16.5" x14ac:dyDescent="0.3">
      <c r="A331">
        <v>331</v>
      </c>
      <c r="B331" s="27" t="s">
        <v>205</v>
      </c>
      <c r="C331" s="46">
        <v>46697365315</v>
      </c>
      <c r="D331" s="62">
        <v>44923</v>
      </c>
      <c r="E331" s="63">
        <v>45148</v>
      </c>
      <c r="F331" s="64">
        <v>19.170000000000002</v>
      </c>
      <c r="G331" s="28" t="s">
        <v>208</v>
      </c>
      <c r="H331" t="s">
        <v>463</v>
      </c>
      <c r="I331" s="83">
        <v>45966</v>
      </c>
      <c r="J331" s="31" t="str">
        <f t="shared" si="5"/>
        <v>44923 45148</v>
      </c>
    </row>
    <row r="332" spans="1:10" ht="16.5" x14ac:dyDescent="0.3">
      <c r="A332">
        <v>332</v>
      </c>
      <c r="B332" s="27" t="s">
        <v>205</v>
      </c>
      <c r="C332" s="46">
        <v>73390348387</v>
      </c>
      <c r="D332" s="62">
        <v>70378</v>
      </c>
      <c r="E332" s="63">
        <v>45148</v>
      </c>
      <c r="F332" s="64">
        <v>203.12</v>
      </c>
      <c r="G332" s="28" t="s">
        <v>211</v>
      </c>
      <c r="H332" t="s">
        <v>463</v>
      </c>
      <c r="I332" s="83">
        <v>45966</v>
      </c>
      <c r="J332" s="31" t="str">
        <f t="shared" si="5"/>
        <v>70378 45148</v>
      </c>
    </row>
    <row r="333" spans="1:10" ht="16.5" x14ac:dyDescent="0.3">
      <c r="A333">
        <v>333</v>
      </c>
      <c r="B333" s="27" t="s">
        <v>205</v>
      </c>
      <c r="C333" s="46">
        <v>83220445349</v>
      </c>
      <c r="D333" s="62">
        <v>71729</v>
      </c>
      <c r="E333" s="63">
        <v>45148</v>
      </c>
      <c r="F333" s="64">
        <v>53.93</v>
      </c>
      <c r="G333" s="28" t="s">
        <v>211</v>
      </c>
      <c r="H333" t="s">
        <v>463</v>
      </c>
      <c r="I333" s="83">
        <v>45966</v>
      </c>
      <c r="J333" s="31" t="str">
        <f t="shared" si="5"/>
        <v>71729 45148</v>
      </c>
    </row>
    <row r="334" spans="1:10" ht="16.5" x14ac:dyDescent="0.3">
      <c r="A334">
        <v>334</v>
      </c>
      <c r="B334" s="27" t="s">
        <v>205</v>
      </c>
      <c r="C334" s="46">
        <v>32920067320</v>
      </c>
      <c r="D334" s="62">
        <v>72133</v>
      </c>
      <c r="E334" s="63">
        <v>45168</v>
      </c>
      <c r="F334" s="64">
        <v>82.03</v>
      </c>
      <c r="G334" s="28" t="s">
        <v>209</v>
      </c>
      <c r="H334" t="s">
        <v>463</v>
      </c>
      <c r="I334" s="83">
        <v>45966</v>
      </c>
      <c r="J334" s="31" t="str">
        <f t="shared" si="5"/>
        <v>72133 45168</v>
      </c>
    </row>
    <row r="335" spans="1:10" ht="16.5" x14ac:dyDescent="0.3">
      <c r="A335">
        <v>335</v>
      </c>
      <c r="B335" s="27" t="s">
        <v>205</v>
      </c>
      <c r="C335" s="46">
        <v>48945986391</v>
      </c>
      <c r="D335" s="62">
        <v>27361</v>
      </c>
      <c r="E335" s="63">
        <v>45158</v>
      </c>
      <c r="F335" s="64">
        <v>334.96</v>
      </c>
      <c r="G335" s="28" t="s">
        <v>208</v>
      </c>
      <c r="H335" t="s">
        <v>463</v>
      </c>
      <c r="I335" s="83">
        <v>45966</v>
      </c>
      <c r="J335" s="31" t="str">
        <f t="shared" si="5"/>
        <v>27361 45158</v>
      </c>
    </row>
    <row r="336" spans="1:10" ht="16.5" x14ac:dyDescent="0.3">
      <c r="A336">
        <v>336</v>
      </c>
      <c r="B336" s="27" t="s">
        <v>205</v>
      </c>
      <c r="C336" s="46">
        <v>37820540249</v>
      </c>
      <c r="D336" s="62">
        <v>42954</v>
      </c>
      <c r="E336" s="63">
        <v>45163</v>
      </c>
      <c r="F336" s="64">
        <v>31.77</v>
      </c>
      <c r="G336" s="28" t="s">
        <v>209</v>
      </c>
      <c r="H336" t="s">
        <v>463</v>
      </c>
      <c r="I336" s="83">
        <v>45966</v>
      </c>
      <c r="J336" s="31" t="str">
        <f t="shared" si="5"/>
        <v>42954 45163</v>
      </c>
    </row>
    <row r="337" spans="1:10" ht="16.5" x14ac:dyDescent="0.3">
      <c r="A337">
        <v>337</v>
      </c>
      <c r="B337" s="27" t="s">
        <v>205</v>
      </c>
      <c r="C337" s="46">
        <v>67119530372</v>
      </c>
      <c r="D337" s="62">
        <v>46628</v>
      </c>
      <c r="E337" s="63">
        <v>45158</v>
      </c>
      <c r="F337" s="64">
        <v>281.5</v>
      </c>
      <c r="G337" s="28" t="s">
        <v>211</v>
      </c>
      <c r="H337" t="s">
        <v>463</v>
      </c>
      <c r="I337" s="83">
        <v>45966</v>
      </c>
      <c r="J337" s="31" t="str">
        <f t="shared" si="5"/>
        <v>46628 45158</v>
      </c>
    </row>
    <row r="338" spans="1:10" ht="16.5" x14ac:dyDescent="0.3">
      <c r="A338">
        <v>338</v>
      </c>
      <c r="B338" s="27" t="s">
        <v>205</v>
      </c>
      <c r="C338" s="46" t="s">
        <v>138</v>
      </c>
      <c r="D338" s="62">
        <v>51899</v>
      </c>
      <c r="E338" s="63">
        <v>45158</v>
      </c>
      <c r="F338" s="64">
        <v>1319.11</v>
      </c>
      <c r="G338" s="28" t="s">
        <v>214</v>
      </c>
      <c r="H338" t="s">
        <v>463</v>
      </c>
      <c r="I338" s="83">
        <v>45966</v>
      </c>
      <c r="J338" s="31" t="str">
        <f t="shared" si="5"/>
        <v>51899 45158</v>
      </c>
    </row>
    <row r="339" spans="1:10" ht="16.5" x14ac:dyDescent="0.3">
      <c r="A339">
        <v>339</v>
      </c>
      <c r="B339" s="27" t="s">
        <v>205</v>
      </c>
      <c r="C339" s="46">
        <v>61407938312</v>
      </c>
      <c r="D339" s="62">
        <v>65794</v>
      </c>
      <c r="E339" s="63">
        <v>45158</v>
      </c>
      <c r="F339" s="64">
        <v>72</v>
      </c>
      <c r="G339" s="28" t="s">
        <v>210</v>
      </c>
      <c r="H339" t="s">
        <v>463</v>
      </c>
      <c r="I339" s="83">
        <v>45966</v>
      </c>
      <c r="J339" s="31" t="str">
        <f t="shared" si="5"/>
        <v>65794 45158</v>
      </c>
    </row>
    <row r="340" spans="1:10" ht="16.5" x14ac:dyDescent="0.3">
      <c r="A340">
        <v>340</v>
      </c>
      <c r="B340" s="27" t="s">
        <v>205</v>
      </c>
      <c r="C340" s="46">
        <v>99747391287</v>
      </c>
      <c r="D340" s="62">
        <v>66144</v>
      </c>
      <c r="E340" s="63">
        <v>45158</v>
      </c>
      <c r="F340" s="64">
        <v>208.69</v>
      </c>
      <c r="G340" s="28" t="s">
        <v>213</v>
      </c>
      <c r="H340" t="s">
        <v>463</v>
      </c>
      <c r="I340" s="83">
        <v>45966</v>
      </c>
      <c r="J340" s="31" t="str">
        <f t="shared" si="5"/>
        <v>66144 45158</v>
      </c>
    </row>
    <row r="341" spans="1:10" ht="16.5" x14ac:dyDescent="0.3">
      <c r="A341">
        <v>341</v>
      </c>
      <c r="B341" s="27" t="s">
        <v>205</v>
      </c>
      <c r="C341" s="46">
        <v>45710902500</v>
      </c>
      <c r="D341" s="62">
        <v>52805</v>
      </c>
      <c r="E341" s="63">
        <v>45168</v>
      </c>
      <c r="F341" s="64">
        <v>1265.7</v>
      </c>
      <c r="G341" s="28" t="s">
        <v>209</v>
      </c>
      <c r="H341" t="s">
        <v>463</v>
      </c>
      <c r="I341" s="83">
        <v>45966</v>
      </c>
      <c r="J341" s="31" t="str">
        <f t="shared" si="5"/>
        <v>52805 45168</v>
      </c>
    </row>
    <row r="342" spans="1:10" ht="16.5" x14ac:dyDescent="0.3">
      <c r="A342">
        <v>342</v>
      </c>
      <c r="B342" s="27" t="s">
        <v>205</v>
      </c>
      <c r="C342" s="46">
        <v>98283200100</v>
      </c>
      <c r="D342" s="62">
        <v>70030</v>
      </c>
      <c r="E342" s="63">
        <v>45168</v>
      </c>
      <c r="F342" s="64">
        <v>463.64</v>
      </c>
      <c r="G342" s="28" t="s">
        <v>213</v>
      </c>
      <c r="H342" t="s">
        <v>463</v>
      </c>
      <c r="I342" s="83">
        <v>45966</v>
      </c>
      <c r="J342" s="31" t="str">
        <f t="shared" si="5"/>
        <v>70030 45168</v>
      </c>
    </row>
    <row r="343" spans="1:10" ht="16.5" x14ac:dyDescent="0.3">
      <c r="A343">
        <v>343</v>
      </c>
      <c r="B343" s="27" t="s">
        <v>205</v>
      </c>
      <c r="C343" s="46" t="s">
        <v>137</v>
      </c>
      <c r="D343" s="62">
        <v>26579</v>
      </c>
      <c r="E343" s="63">
        <v>45184</v>
      </c>
      <c r="F343" s="64">
        <v>824.8</v>
      </c>
      <c r="G343" s="28" t="s">
        <v>214</v>
      </c>
      <c r="H343" t="s">
        <v>463</v>
      </c>
      <c r="I343" s="83">
        <v>45966</v>
      </c>
      <c r="J343" s="31" t="str">
        <f t="shared" si="5"/>
        <v>26579 45184</v>
      </c>
    </row>
    <row r="344" spans="1:10" ht="16.5" x14ac:dyDescent="0.3">
      <c r="A344">
        <v>344</v>
      </c>
      <c r="B344" s="27" t="s">
        <v>205</v>
      </c>
      <c r="C344" s="46">
        <v>37820540249</v>
      </c>
      <c r="D344" s="62">
        <v>42954</v>
      </c>
      <c r="E344" s="63">
        <v>45194</v>
      </c>
      <c r="F344" s="64">
        <v>7.65</v>
      </c>
      <c r="G344" s="28" t="s">
        <v>209</v>
      </c>
      <c r="H344" t="s">
        <v>463</v>
      </c>
      <c r="I344" s="83">
        <v>45966</v>
      </c>
      <c r="J344" s="31" t="str">
        <f t="shared" si="5"/>
        <v>42954 45194</v>
      </c>
    </row>
    <row r="345" spans="1:10" ht="16.5" x14ac:dyDescent="0.3">
      <c r="A345">
        <v>345</v>
      </c>
      <c r="B345" s="27" t="s">
        <v>205</v>
      </c>
      <c r="C345" s="46">
        <v>83867678120</v>
      </c>
      <c r="D345" s="62">
        <v>46677</v>
      </c>
      <c r="E345" s="63">
        <v>45189</v>
      </c>
      <c r="F345" s="64">
        <v>316.11</v>
      </c>
      <c r="G345" s="28" t="s">
        <v>211</v>
      </c>
      <c r="H345" t="s">
        <v>463</v>
      </c>
      <c r="I345" s="83">
        <v>45966</v>
      </c>
      <c r="J345" s="31" t="str">
        <f t="shared" si="5"/>
        <v>46677 45189</v>
      </c>
    </row>
    <row r="346" spans="1:10" ht="16.5" x14ac:dyDescent="0.3">
      <c r="A346">
        <v>346</v>
      </c>
      <c r="B346" s="27" t="s">
        <v>205</v>
      </c>
      <c r="C346" s="46">
        <v>85014850391</v>
      </c>
      <c r="D346" s="62">
        <v>49503</v>
      </c>
      <c r="E346" s="63">
        <v>45189</v>
      </c>
      <c r="F346" s="64">
        <v>242.82</v>
      </c>
      <c r="G346" s="28" t="s">
        <v>211</v>
      </c>
      <c r="H346" t="s">
        <v>463</v>
      </c>
      <c r="I346" s="83">
        <v>45966</v>
      </c>
      <c r="J346" s="31" t="str">
        <f t="shared" si="5"/>
        <v>49503 45189</v>
      </c>
    </row>
    <row r="347" spans="1:10" ht="16.5" x14ac:dyDescent="0.3">
      <c r="A347">
        <v>347</v>
      </c>
      <c r="B347" s="27" t="s">
        <v>205</v>
      </c>
      <c r="C347" s="46">
        <v>60862135346</v>
      </c>
      <c r="D347" s="62">
        <v>68878</v>
      </c>
      <c r="E347" s="63">
        <v>45189</v>
      </c>
      <c r="F347" s="64">
        <v>185.33</v>
      </c>
      <c r="G347" s="28" t="s">
        <v>210</v>
      </c>
      <c r="H347" t="s">
        <v>463</v>
      </c>
      <c r="I347" s="83">
        <v>45966</v>
      </c>
      <c r="J347" s="31" t="str">
        <f t="shared" si="5"/>
        <v>68878 45189</v>
      </c>
    </row>
    <row r="348" spans="1:10" ht="16.5" x14ac:dyDescent="0.3">
      <c r="A348">
        <v>348</v>
      </c>
      <c r="B348" s="27" t="s">
        <v>205</v>
      </c>
      <c r="C348" s="46">
        <v>14625727740</v>
      </c>
      <c r="D348" s="62">
        <v>71276</v>
      </c>
      <c r="E348" s="63">
        <v>45189</v>
      </c>
      <c r="F348" s="64">
        <v>259.17</v>
      </c>
      <c r="G348" s="28" t="s">
        <v>212</v>
      </c>
      <c r="H348" t="s">
        <v>463</v>
      </c>
      <c r="I348" s="83">
        <v>45966</v>
      </c>
      <c r="J348" s="31" t="str">
        <f t="shared" si="5"/>
        <v>71276 45189</v>
      </c>
    </row>
    <row r="349" spans="1:10" ht="16.5" x14ac:dyDescent="0.3">
      <c r="A349">
        <v>349</v>
      </c>
      <c r="B349" s="27" t="s">
        <v>205</v>
      </c>
      <c r="C349" s="46">
        <v>59537973204</v>
      </c>
      <c r="D349" s="62">
        <v>71877</v>
      </c>
      <c r="E349" s="63">
        <v>45189</v>
      </c>
      <c r="F349" s="64">
        <v>767.32</v>
      </c>
      <c r="G349" s="28" t="s">
        <v>208</v>
      </c>
      <c r="H349" t="s">
        <v>463</v>
      </c>
      <c r="I349" s="83">
        <v>45966</v>
      </c>
      <c r="J349" s="31" t="str">
        <f t="shared" si="5"/>
        <v>71877 45189</v>
      </c>
    </row>
    <row r="350" spans="1:10" ht="16.5" x14ac:dyDescent="0.3">
      <c r="A350">
        <v>350</v>
      </c>
      <c r="B350" s="27" t="s">
        <v>205</v>
      </c>
      <c r="C350" s="46">
        <v>61600675328</v>
      </c>
      <c r="D350" s="62">
        <v>72104</v>
      </c>
      <c r="E350" s="63">
        <v>45189</v>
      </c>
      <c r="F350" s="64">
        <v>251.83</v>
      </c>
      <c r="G350" s="28" t="s">
        <v>210</v>
      </c>
      <c r="H350" t="s">
        <v>463</v>
      </c>
      <c r="I350" s="83">
        <v>45966</v>
      </c>
      <c r="J350" s="31" t="str">
        <f t="shared" si="5"/>
        <v>72104 45189</v>
      </c>
    </row>
    <row r="351" spans="1:10" ht="16.5" x14ac:dyDescent="0.3">
      <c r="A351">
        <v>351</v>
      </c>
      <c r="B351" s="27" t="s">
        <v>205</v>
      </c>
      <c r="C351" s="46">
        <v>46697365315</v>
      </c>
      <c r="D351" s="62">
        <v>44923</v>
      </c>
      <c r="E351" s="63">
        <v>45179</v>
      </c>
      <c r="F351" s="64">
        <v>18.579999999999998</v>
      </c>
      <c r="G351" s="28" t="s">
        <v>208</v>
      </c>
      <c r="H351" t="s">
        <v>463</v>
      </c>
      <c r="I351" s="83">
        <v>45966</v>
      </c>
      <c r="J351" s="31" t="str">
        <f t="shared" si="5"/>
        <v>44923 45179</v>
      </c>
    </row>
    <row r="352" spans="1:10" ht="16.5" x14ac:dyDescent="0.3">
      <c r="A352">
        <v>352</v>
      </c>
      <c r="B352" s="27" t="s">
        <v>205</v>
      </c>
      <c r="C352" s="46">
        <v>90940474387</v>
      </c>
      <c r="D352" s="62">
        <v>67587</v>
      </c>
      <c r="E352" s="63">
        <v>45189</v>
      </c>
      <c r="F352" s="64">
        <v>133.44</v>
      </c>
      <c r="G352" s="28" t="s">
        <v>211</v>
      </c>
      <c r="H352" t="s">
        <v>463</v>
      </c>
      <c r="I352" s="83">
        <v>45966</v>
      </c>
      <c r="J352" s="31" t="str">
        <f t="shared" si="5"/>
        <v>67587 45189</v>
      </c>
    </row>
    <row r="353" spans="1:10" ht="16.5" x14ac:dyDescent="0.3">
      <c r="A353">
        <v>353</v>
      </c>
      <c r="B353" s="27" t="s">
        <v>205</v>
      </c>
      <c r="C353" s="46">
        <v>48715867315</v>
      </c>
      <c r="D353" s="62">
        <v>68373</v>
      </c>
      <c r="E353" s="63">
        <v>45189</v>
      </c>
      <c r="F353" s="64">
        <v>17.850000000000001</v>
      </c>
      <c r="G353" s="28" t="s">
        <v>208</v>
      </c>
      <c r="H353" t="s">
        <v>463</v>
      </c>
      <c r="I353" s="83">
        <v>45966</v>
      </c>
      <c r="J353" s="31" t="str">
        <f t="shared" si="5"/>
        <v>68373 45189</v>
      </c>
    </row>
    <row r="354" spans="1:10" ht="16.5" x14ac:dyDescent="0.3">
      <c r="A354">
        <v>354</v>
      </c>
      <c r="B354" s="27" t="s">
        <v>205</v>
      </c>
      <c r="C354" s="46">
        <v>72462450904</v>
      </c>
      <c r="D354" s="62">
        <v>68869</v>
      </c>
      <c r="E354" s="63">
        <v>45189</v>
      </c>
      <c r="F354" s="64">
        <v>67.67</v>
      </c>
      <c r="G354" s="28" t="s">
        <v>211</v>
      </c>
      <c r="H354" t="s">
        <v>463</v>
      </c>
      <c r="I354" s="83">
        <v>45966</v>
      </c>
      <c r="J354" s="31" t="str">
        <f t="shared" si="5"/>
        <v>68869 45189</v>
      </c>
    </row>
    <row r="355" spans="1:10" ht="16.5" x14ac:dyDescent="0.3">
      <c r="A355">
        <v>355</v>
      </c>
      <c r="B355" s="27" t="s">
        <v>205</v>
      </c>
      <c r="C355" s="46">
        <v>46696261320</v>
      </c>
      <c r="D355" s="62">
        <v>68915</v>
      </c>
      <c r="E355" s="63">
        <v>45189</v>
      </c>
      <c r="F355" s="64">
        <v>36</v>
      </c>
      <c r="G355" s="28" t="s">
        <v>208</v>
      </c>
      <c r="H355" t="s">
        <v>463</v>
      </c>
      <c r="I355" s="83">
        <v>45966</v>
      </c>
      <c r="J355" s="31" t="str">
        <f t="shared" si="5"/>
        <v>68915 45189</v>
      </c>
    </row>
    <row r="356" spans="1:10" ht="16.5" x14ac:dyDescent="0.3">
      <c r="A356">
        <v>356</v>
      </c>
      <c r="B356" s="27" t="s">
        <v>205</v>
      </c>
      <c r="C356" s="46">
        <v>28807960320</v>
      </c>
      <c r="D356" s="62">
        <v>70785</v>
      </c>
      <c r="E356" s="63">
        <v>45189</v>
      </c>
      <c r="F356" s="64">
        <v>174.17</v>
      </c>
      <c r="G356" s="28" t="s">
        <v>212</v>
      </c>
      <c r="H356" t="s">
        <v>216</v>
      </c>
      <c r="I356" s="83">
        <v>45966</v>
      </c>
      <c r="J356" s="31" t="str">
        <f t="shared" si="5"/>
        <v>70785 45189</v>
      </c>
    </row>
    <row r="357" spans="1:10" ht="16.5" x14ac:dyDescent="0.3">
      <c r="A357">
        <v>357</v>
      </c>
      <c r="B357" s="27" t="s">
        <v>205</v>
      </c>
      <c r="C357" s="46">
        <v>32920067320</v>
      </c>
      <c r="D357" s="62">
        <v>72133</v>
      </c>
      <c r="E357" s="63">
        <v>45199</v>
      </c>
      <c r="F357" s="64">
        <v>30.6</v>
      </c>
      <c r="G357" s="28" t="s">
        <v>209</v>
      </c>
      <c r="H357" t="s">
        <v>217</v>
      </c>
      <c r="I357" s="83">
        <v>45966</v>
      </c>
      <c r="J357" s="31" t="str">
        <f t="shared" si="5"/>
        <v>72133 45199</v>
      </c>
    </row>
    <row r="358" spans="1:10" ht="16.5" x14ac:dyDescent="0.3">
      <c r="A358">
        <v>358</v>
      </c>
      <c r="B358" s="27" t="s">
        <v>205</v>
      </c>
      <c r="C358" s="46">
        <v>61973084368</v>
      </c>
      <c r="D358" s="62">
        <v>52731</v>
      </c>
      <c r="E358" s="63">
        <v>45199</v>
      </c>
      <c r="F358" s="64">
        <v>998.32</v>
      </c>
      <c r="G358" s="28" t="s">
        <v>210</v>
      </c>
      <c r="H358" t="s">
        <v>218</v>
      </c>
      <c r="I358" s="83">
        <v>45966</v>
      </c>
      <c r="J358" s="31" t="str">
        <f t="shared" si="5"/>
        <v>52731 45199</v>
      </c>
    </row>
    <row r="359" spans="1:10" ht="16.5" x14ac:dyDescent="0.3">
      <c r="A359">
        <v>359</v>
      </c>
      <c r="B359" s="27" t="s">
        <v>205</v>
      </c>
      <c r="C359" s="46" t="s">
        <v>128</v>
      </c>
      <c r="D359" s="62">
        <v>70324</v>
      </c>
      <c r="E359" s="63">
        <v>45199</v>
      </c>
      <c r="F359" s="64">
        <v>756.57</v>
      </c>
      <c r="G359" s="28" t="s">
        <v>214</v>
      </c>
      <c r="H359" t="s">
        <v>219</v>
      </c>
      <c r="I359" s="83">
        <v>45966</v>
      </c>
      <c r="J359" s="31" t="str">
        <f t="shared" si="5"/>
        <v>70324 45199</v>
      </c>
    </row>
    <row r="360" spans="1:10" ht="16.5" x14ac:dyDescent="0.3">
      <c r="A360">
        <v>360</v>
      </c>
      <c r="B360" s="27" t="s">
        <v>205</v>
      </c>
      <c r="C360" s="46">
        <v>61681671379</v>
      </c>
      <c r="D360" s="62">
        <v>71945</v>
      </c>
      <c r="E360" s="63">
        <v>45199</v>
      </c>
      <c r="F360" s="64">
        <v>251.83</v>
      </c>
      <c r="G360" s="28" t="s">
        <v>210</v>
      </c>
      <c r="H360" t="s">
        <v>220</v>
      </c>
      <c r="I360" s="83">
        <v>45966</v>
      </c>
      <c r="J360" s="31" t="str">
        <f t="shared" si="5"/>
        <v>71945 45199</v>
      </c>
    </row>
    <row r="361" spans="1:10" ht="16.5" x14ac:dyDescent="0.3">
      <c r="A361">
        <v>361</v>
      </c>
      <c r="B361" s="27" t="s">
        <v>205</v>
      </c>
      <c r="C361" s="46" t="s">
        <v>137</v>
      </c>
      <c r="D361" s="62">
        <v>26579</v>
      </c>
      <c r="E361" s="63">
        <v>45214</v>
      </c>
      <c r="F361" s="64">
        <v>824.8</v>
      </c>
      <c r="G361" s="28" t="s">
        <v>214</v>
      </c>
      <c r="H361" t="s">
        <v>221</v>
      </c>
      <c r="I361" s="83">
        <v>45966</v>
      </c>
      <c r="J361" s="31" t="str">
        <f t="shared" si="5"/>
        <v>26579 45214</v>
      </c>
    </row>
    <row r="362" spans="1:10" ht="16.5" x14ac:dyDescent="0.3">
      <c r="A362">
        <v>362</v>
      </c>
      <c r="B362" s="27" t="s">
        <v>205</v>
      </c>
      <c r="C362" s="46">
        <v>98697609372</v>
      </c>
      <c r="D362" s="62">
        <v>69556</v>
      </c>
      <c r="E362" s="63">
        <v>45209</v>
      </c>
      <c r="F362" s="64">
        <v>783.22</v>
      </c>
      <c r="G362" s="28" t="s">
        <v>213</v>
      </c>
      <c r="H362" t="s">
        <v>222</v>
      </c>
      <c r="I362" s="83">
        <v>45966</v>
      </c>
      <c r="J362" s="31" t="str">
        <f t="shared" si="5"/>
        <v>69556 45209</v>
      </c>
    </row>
    <row r="363" spans="1:10" ht="16.5" x14ac:dyDescent="0.3">
      <c r="A363">
        <v>363</v>
      </c>
      <c r="B363" s="27" t="s">
        <v>205</v>
      </c>
      <c r="C363" s="46">
        <v>83867678120</v>
      </c>
      <c r="D363" s="62">
        <v>46677</v>
      </c>
      <c r="E363" s="63">
        <v>45219</v>
      </c>
      <c r="F363" s="64">
        <v>286.11</v>
      </c>
      <c r="G363" s="28" t="s">
        <v>211</v>
      </c>
      <c r="H363" t="s">
        <v>223</v>
      </c>
      <c r="I363" s="83">
        <v>45966</v>
      </c>
      <c r="J363" s="31" t="str">
        <f t="shared" si="5"/>
        <v>46677 45219</v>
      </c>
    </row>
    <row r="364" spans="1:10" ht="16.5" x14ac:dyDescent="0.3">
      <c r="A364">
        <v>364</v>
      </c>
      <c r="B364" s="27" t="s">
        <v>205</v>
      </c>
      <c r="C364" s="46">
        <v>62553976372</v>
      </c>
      <c r="D364" s="62">
        <v>46961</v>
      </c>
      <c r="E364" s="63">
        <v>45219</v>
      </c>
      <c r="F364" s="64">
        <v>212.44</v>
      </c>
      <c r="G364" s="28" t="s">
        <v>210</v>
      </c>
      <c r="H364" t="s">
        <v>224</v>
      </c>
      <c r="I364" s="83">
        <v>45966</v>
      </c>
      <c r="J364" s="31" t="str">
        <f t="shared" si="5"/>
        <v>46961 45219</v>
      </c>
    </row>
    <row r="365" spans="1:10" ht="16.5" x14ac:dyDescent="0.3">
      <c r="A365">
        <v>365</v>
      </c>
      <c r="B365" s="27" t="s">
        <v>205</v>
      </c>
      <c r="C365" s="46">
        <v>85014850391</v>
      </c>
      <c r="D365" s="62">
        <v>49503</v>
      </c>
      <c r="E365" s="63">
        <v>45219</v>
      </c>
      <c r="F365" s="64">
        <v>242.82</v>
      </c>
      <c r="G365" s="28" t="s">
        <v>211</v>
      </c>
      <c r="H365" t="s">
        <v>225</v>
      </c>
      <c r="I365" s="83">
        <v>45966</v>
      </c>
      <c r="J365" s="31" t="str">
        <f t="shared" si="5"/>
        <v>49503 45219</v>
      </c>
    </row>
    <row r="366" spans="1:10" ht="16.5" x14ac:dyDescent="0.3">
      <c r="A366">
        <v>366</v>
      </c>
      <c r="B366" s="27" t="s">
        <v>205</v>
      </c>
      <c r="C366" s="46">
        <v>60862135346</v>
      </c>
      <c r="D366" s="62">
        <v>68878</v>
      </c>
      <c r="E366" s="63">
        <v>45219</v>
      </c>
      <c r="F366" s="64">
        <v>185.33</v>
      </c>
      <c r="G366" s="28" t="s">
        <v>210</v>
      </c>
      <c r="H366" t="s">
        <v>226</v>
      </c>
      <c r="I366" s="83">
        <v>45966</v>
      </c>
      <c r="J366" s="31" t="str">
        <f t="shared" si="5"/>
        <v>68878 45219</v>
      </c>
    </row>
    <row r="367" spans="1:10" ht="16.5" x14ac:dyDescent="0.3">
      <c r="A367">
        <v>367</v>
      </c>
      <c r="B367" s="27" t="s">
        <v>205</v>
      </c>
      <c r="C367" s="46">
        <v>61973084368</v>
      </c>
      <c r="D367" s="62">
        <v>52731</v>
      </c>
      <c r="E367" s="63">
        <v>45229</v>
      </c>
      <c r="F367" s="64">
        <v>998.32</v>
      </c>
      <c r="G367" s="28" t="s">
        <v>210</v>
      </c>
      <c r="H367" t="s">
        <v>227</v>
      </c>
      <c r="I367" s="83">
        <v>45966</v>
      </c>
      <c r="J367" s="31" t="str">
        <f t="shared" si="5"/>
        <v>52731 45229</v>
      </c>
    </row>
    <row r="368" spans="1:10" ht="16.5" x14ac:dyDescent="0.3">
      <c r="A368">
        <v>368</v>
      </c>
      <c r="B368" s="27" t="s">
        <v>205</v>
      </c>
      <c r="C368" s="46">
        <v>67197191300</v>
      </c>
      <c r="D368" s="62">
        <v>68998</v>
      </c>
      <c r="E368" s="63">
        <v>45229</v>
      </c>
      <c r="F368" s="64">
        <v>204.22</v>
      </c>
      <c r="G368" s="28" t="s">
        <v>211</v>
      </c>
      <c r="H368" t="s">
        <v>228</v>
      </c>
      <c r="I368" s="83">
        <v>45966</v>
      </c>
      <c r="J368" s="31" t="str">
        <f t="shared" si="5"/>
        <v>68998 45229</v>
      </c>
    </row>
    <row r="369" spans="1:10" ht="16.5" x14ac:dyDescent="0.3">
      <c r="A369">
        <v>369</v>
      </c>
      <c r="B369" s="27" t="s">
        <v>205</v>
      </c>
      <c r="C369" s="46" t="s">
        <v>128</v>
      </c>
      <c r="D369" s="62">
        <v>70324</v>
      </c>
      <c r="E369" s="63">
        <v>45229</v>
      </c>
      <c r="F369" s="64">
        <v>284.57</v>
      </c>
      <c r="G369" s="28" t="s">
        <v>214</v>
      </c>
      <c r="H369" t="s">
        <v>229</v>
      </c>
      <c r="I369" s="83">
        <v>45966</v>
      </c>
      <c r="J369" s="31" t="str">
        <f t="shared" si="5"/>
        <v>70324 45229</v>
      </c>
    </row>
    <row r="370" spans="1:10" ht="16.5" x14ac:dyDescent="0.3">
      <c r="A370">
        <v>370</v>
      </c>
      <c r="B370" s="27" t="s">
        <v>205</v>
      </c>
      <c r="C370" s="46">
        <v>61681671379</v>
      </c>
      <c r="D370" s="62">
        <v>71945</v>
      </c>
      <c r="E370" s="63">
        <v>45229</v>
      </c>
      <c r="F370" s="64">
        <v>251.83</v>
      </c>
      <c r="G370" s="28" t="s">
        <v>210</v>
      </c>
      <c r="H370" t="s">
        <v>230</v>
      </c>
      <c r="I370" s="83">
        <v>45966</v>
      </c>
      <c r="J370" s="31" t="str">
        <f t="shared" si="5"/>
        <v>71945 45229</v>
      </c>
    </row>
    <row r="371" spans="1:10" ht="16.5" x14ac:dyDescent="0.3">
      <c r="A371">
        <v>371</v>
      </c>
      <c r="B371" s="27" t="s">
        <v>205</v>
      </c>
      <c r="C371" s="46">
        <v>46708286300</v>
      </c>
      <c r="D371" s="62">
        <v>34021</v>
      </c>
      <c r="E371" s="63">
        <v>45240</v>
      </c>
      <c r="F371" s="64">
        <v>301.37</v>
      </c>
      <c r="G371" s="28" t="s">
        <v>208</v>
      </c>
      <c r="H371" t="s">
        <v>231</v>
      </c>
      <c r="I371" s="83">
        <v>45966</v>
      </c>
      <c r="J371" s="31" t="str">
        <f t="shared" si="5"/>
        <v>34021 45240</v>
      </c>
    </row>
    <row r="372" spans="1:10" ht="16.5" x14ac:dyDescent="0.3">
      <c r="A372">
        <v>372</v>
      </c>
      <c r="B372" s="27" t="s">
        <v>205</v>
      </c>
      <c r="C372" s="46">
        <v>98697609372</v>
      </c>
      <c r="D372" s="62">
        <v>69556</v>
      </c>
      <c r="E372" s="63">
        <v>45240</v>
      </c>
      <c r="F372" s="64">
        <v>783.22</v>
      </c>
      <c r="G372" s="28" t="s">
        <v>213</v>
      </c>
      <c r="H372" t="s">
        <v>232</v>
      </c>
      <c r="I372" s="83">
        <v>45966</v>
      </c>
      <c r="J372" s="31" t="str">
        <f t="shared" si="5"/>
        <v>69556 45240</v>
      </c>
    </row>
    <row r="373" spans="1:10" ht="16.5" x14ac:dyDescent="0.3">
      <c r="A373">
        <v>373</v>
      </c>
      <c r="B373" s="27" t="s">
        <v>205</v>
      </c>
      <c r="C373" s="46" t="s">
        <v>131</v>
      </c>
      <c r="D373" s="62">
        <v>70376</v>
      </c>
      <c r="E373" s="63">
        <v>45240</v>
      </c>
      <c r="F373" s="64">
        <v>601.11</v>
      </c>
      <c r="G373" s="28" t="s">
        <v>214</v>
      </c>
      <c r="H373" t="s">
        <v>233</v>
      </c>
      <c r="I373" s="83">
        <v>45966</v>
      </c>
      <c r="J373" s="31" t="str">
        <f t="shared" si="5"/>
        <v>70376 45240</v>
      </c>
    </row>
    <row r="374" spans="1:10" ht="16.5" x14ac:dyDescent="0.3">
      <c r="A374">
        <v>374</v>
      </c>
      <c r="B374" s="27" t="s">
        <v>205</v>
      </c>
      <c r="C374" s="46" t="s">
        <v>130</v>
      </c>
      <c r="D374" s="62">
        <v>71398</v>
      </c>
      <c r="E374" s="63">
        <v>45240</v>
      </c>
      <c r="F374" s="64">
        <v>438.61</v>
      </c>
      <c r="G374" s="28" t="s">
        <v>214</v>
      </c>
      <c r="H374" t="s">
        <v>234</v>
      </c>
      <c r="I374" s="83">
        <v>45966</v>
      </c>
      <c r="J374" s="31" t="str">
        <f t="shared" si="5"/>
        <v>71398 45240</v>
      </c>
    </row>
    <row r="375" spans="1:10" ht="16.5" x14ac:dyDescent="0.3">
      <c r="A375">
        <v>375</v>
      </c>
      <c r="B375" s="27" t="s">
        <v>205</v>
      </c>
      <c r="C375" s="46">
        <v>61600675328</v>
      </c>
      <c r="D375" s="62">
        <v>72104</v>
      </c>
      <c r="E375" s="63">
        <v>45250</v>
      </c>
      <c r="F375" s="64">
        <v>36</v>
      </c>
      <c r="G375" s="28" t="s">
        <v>210</v>
      </c>
      <c r="H375" t="s">
        <v>235</v>
      </c>
      <c r="I375" s="83">
        <v>45966</v>
      </c>
      <c r="J375" s="31" t="str">
        <f t="shared" si="5"/>
        <v>72104 45250</v>
      </c>
    </row>
    <row r="376" spans="1:10" ht="16.5" x14ac:dyDescent="0.3">
      <c r="A376">
        <v>376</v>
      </c>
      <c r="B376" s="27" t="s">
        <v>205</v>
      </c>
      <c r="C376" s="46">
        <v>72462450904</v>
      </c>
      <c r="D376" s="62">
        <v>68869</v>
      </c>
      <c r="E376" s="63">
        <v>45250</v>
      </c>
      <c r="F376" s="64">
        <v>24.28</v>
      </c>
      <c r="G376" s="28" t="s">
        <v>211</v>
      </c>
      <c r="H376" t="s">
        <v>236</v>
      </c>
      <c r="I376" s="83">
        <v>45966</v>
      </c>
      <c r="J376" s="31" t="str">
        <f t="shared" si="5"/>
        <v>68869 45250</v>
      </c>
    </row>
    <row r="377" spans="1:10" ht="16.5" x14ac:dyDescent="0.3">
      <c r="A377">
        <v>377</v>
      </c>
      <c r="B377" s="27" t="s">
        <v>205</v>
      </c>
      <c r="C377" s="46">
        <v>77812557391</v>
      </c>
      <c r="D377" s="62">
        <v>50961</v>
      </c>
      <c r="E377" s="63">
        <v>45260</v>
      </c>
      <c r="F377" s="64">
        <v>766.43</v>
      </c>
      <c r="G377" s="28" t="s">
        <v>211</v>
      </c>
      <c r="H377" t="s">
        <v>237</v>
      </c>
      <c r="I377" s="83">
        <v>45966</v>
      </c>
      <c r="J377" s="31" t="str">
        <f t="shared" si="5"/>
        <v>50961 45260</v>
      </c>
    </row>
    <row r="378" spans="1:10" ht="16.5" x14ac:dyDescent="0.3">
      <c r="A378">
        <v>378</v>
      </c>
      <c r="B378" s="27" t="s">
        <v>205</v>
      </c>
      <c r="C378" s="46">
        <v>67197191300</v>
      </c>
      <c r="D378" s="62">
        <v>68998</v>
      </c>
      <c r="E378" s="63">
        <v>45260</v>
      </c>
      <c r="F378" s="64">
        <v>223.89</v>
      </c>
      <c r="G378" s="28" t="s">
        <v>211</v>
      </c>
      <c r="H378" t="s">
        <v>238</v>
      </c>
      <c r="I378" s="83">
        <v>45966</v>
      </c>
      <c r="J378" s="31" t="str">
        <f t="shared" si="5"/>
        <v>68998 45260</v>
      </c>
    </row>
    <row r="379" spans="1:10" ht="16.5" x14ac:dyDescent="0.3">
      <c r="A379">
        <v>379</v>
      </c>
      <c r="B379" s="27" t="s">
        <v>205</v>
      </c>
      <c r="C379" s="46" t="s">
        <v>128</v>
      </c>
      <c r="D379" s="62">
        <v>70324</v>
      </c>
      <c r="E379" s="63">
        <v>45260</v>
      </c>
      <c r="F379" s="64">
        <v>515</v>
      </c>
      <c r="G379" s="28" t="s">
        <v>214</v>
      </c>
      <c r="H379" t="s">
        <v>239</v>
      </c>
      <c r="I379" s="83">
        <v>45966</v>
      </c>
      <c r="J379" s="31" t="str">
        <f t="shared" si="5"/>
        <v>70324 45260</v>
      </c>
    </row>
    <row r="380" spans="1:10" ht="16.5" x14ac:dyDescent="0.3">
      <c r="A380">
        <v>380</v>
      </c>
      <c r="B380" s="27" t="s">
        <v>205</v>
      </c>
      <c r="C380" s="46">
        <v>46708286300</v>
      </c>
      <c r="D380" s="62">
        <v>34021</v>
      </c>
      <c r="E380" s="63">
        <v>45270</v>
      </c>
      <c r="F380" s="64">
        <v>301.37</v>
      </c>
      <c r="G380" s="28" t="s">
        <v>208</v>
      </c>
      <c r="H380" t="s">
        <v>240</v>
      </c>
      <c r="I380" s="83">
        <v>45966</v>
      </c>
      <c r="J380" s="31" t="str">
        <f t="shared" si="5"/>
        <v>34021 45270</v>
      </c>
    </row>
    <row r="381" spans="1:10" ht="16.5" x14ac:dyDescent="0.3">
      <c r="A381">
        <v>381</v>
      </c>
      <c r="B381" s="27" t="s">
        <v>205</v>
      </c>
      <c r="C381" s="46">
        <v>26916860359</v>
      </c>
      <c r="D381" s="62">
        <v>67879</v>
      </c>
      <c r="E381" s="63">
        <v>45270</v>
      </c>
      <c r="F381" s="64">
        <v>408.3</v>
      </c>
      <c r="G381" s="28" t="s">
        <v>212</v>
      </c>
      <c r="H381" t="s">
        <v>241</v>
      </c>
      <c r="I381" s="83">
        <v>45966</v>
      </c>
      <c r="J381" s="31" t="str">
        <f t="shared" si="5"/>
        <v>67879 45270</v>
      </c>
    </row>
    <row r="382" spans="1:10" ht="16.5" x14ac:dyDescent="0.3">
      <c r="A382">
        <v>382</v>
      </c>
      <c r="B382" s="27" t="s">
        <v>205</v>
      </c>
      <c r="C382" s="46">
        <v>98093096191</v>
      </c>
      <c r="D382" s="62">
        <v>70686</v>
      </c>
      <c r="E382" s="63">
        <v>45270</v>
      </c>
      <c r="F382" s="64">
        <v>203.12</v>
      </c>
      <c r="G382" s="28" t="s">
        <v>213</v>
      </c>
      <c r="H382" t="s">
        <v>242</v>
      </c>
      <c r="I382" s="83">
        <v>45966</v>
      </c>
      <c r="J382" s="31" t="str">
        <f t="shared" si="5"/>
        <v>70686 45270</v>
      </c>
    </row>
    <row r="383" spans="1:10" ht="16.5" x14ac:dyDescent="0.3">
      <c r="A383">
        <v>383</v>
      </c>
      <c r="B383" s="27" t="s">
        <v>205</v>
      </c>
      <c r="C383" s="46">
        <v>98093096191</v>
      </c>
      <c r="D383" s="62">
        <v>70702</v>
      </c>
      <c r="E383" s="63">
        <v>45270</v>
      </c>
      <c r="F383" s="64">
        <v>326.95999999999998</v>
      </c>
      <c r="G383" s="28" t="s">
        <v>213</v>
      </c>
      <c r="H383" t="s">
        <v>243</v>
      </c>
      <c r="I383" s="83">
        <v>45966</v>
      </c>
      <c r="J383" s="31" t="str">
        <f t="shared" si="5"/>
        <v>70702 45270</v>
      </c>
    </row>
    <row r="384" spans="1:10" ht="16.5" x14ac:dyDescent="0.3">
      <c r="A384">
        <v>384</v>
      </c>
      <c r="B384" s="27" t="s">
        <v>205</v>
      </c>
      <c r="C384" s="46">
        <v>91663334315</v>
      </c>
      <c r="D384" s="62">
        <v>34107</v>
      </c>
      <c r="E384" s="63">
        <v>45285</v>
      </c>
      <c r="F384" s="64">
        <v>30.41</v>
      </c>
      <c r="G384" s="28" t="s">
        <v>211</v>
      </c>
      <c r="H384" t="s">
        <v>244</v>
      </c>
      <c r="I384" s="83">
        <v>45966</v>
      </c>
      <c r="J384" s="31" t="str">
        <f t="shared" si="5"/>
        <v>34107 45285</v>
      </c>
    </row>
    <row r="385" spans="1:10" ht="16.5" x14ac:dyDescent="0.3">
      <c r="A385">
        <v>385</v>
      </c>
      <c r="B385" s="27" t="s">
        <v>205</v>
      </c>
      <c r="C385" s="46">
        <v>42324165449</v>
      </c>
      <c r="D385" s="62">
        <v>70543</v>
      </c>
      <c r="E385" s="63">
        <v>45280</v>
      </c>
      <c r="F385" s="64">
        <v>368.37</v>
      </c>
      <c r="G385" s="28" t="s">
        <v>209</v>
      </c>
      <c r="H385" t="s">
        <v>245</v>
      </c>
      <c r="I385" s="83">
        <v>45966</v>
      </c>
      <c r="J385" s="31" t="str">
        <f t="shared" si="5"/>
        <v>70543 45280</v>
      </c>
    </row>
    <row r="386" spans="1:10" ht="16.5" x14ac:dyDescent="0.3">
      <c r="A386">
        <v>386</v>
      </c>
      <c r="B386" s="27" t="s">
        <v>205</v>
      </c>
      <c r="C386" s="46">
        <v>83836004372</v>
      </c>
      <c r="D386" s="62">
        <v>61673</v>
      </c>
      <c r="E386" s="63">
        <v>45290</v>
      </c>
      <c r="F386" s="64">
        <v>350.53</v>
      </c>
      <c r="G386" s="28" t="s">
        <v>211</v>
      </c>
      <c r="H386" t="s">
        <v>246</v>
      </c>
      <c r="I386" s="83">
        <v>45966</v>
      </c>
      <c r="J386" s="31" t="str">
        <f t="shared" ref="J386:J449" si="6">_xlfn.CONCAT(D386," ",E386)</f>
        <v>61673 45290</v>
      </c>
    </row>
    <row r="387" spans="1:10" ht="16.5" x14ac:dyDescent="0.3">
      <c r="A387">
        <v>387</v>
      </c>
      <c r="B387" s="27" t="s">
        <v>205</v>
      </c>
      <c r="C387" s="46">
        <v>67197191300</v>
      </c>
      <c r="D387" s="62">
        <v>68998</v>
      </c>
      <c r="E387" s="63">
        <v>45290</v>
      </c>
      <c r="F387" s="64">
        <v>36</v>
      </c>
      <c r="G387" s="28" t="s">
        <v>211</v>
      </c>
      <c r="H387" t="s">
        <v>247</v>
      </c>
      <c r="I387" s="83">
        <v>45966</v>
      </c>
      <c r="J387" s="31" t="str">
        <f t="shared" si="6"/>
        <v>68998 45290</v>
      </c>
    </row>
    <row r="388" spans="1:10" ht="16.5" x14ac:dyDescent="0.3">
      <c r="A388">
        <v>388</v>
      </c>
      <c r="B388" s="27" t="s">
        <v>205</v>
      </c>
      <c r="C388" s="46" t="s">
        <v>128</v>
      </c>
      <c r="D388" s="62">
        <v>70324</v>
      </c>
      <c r="E388" s="63">
        <v>45290</v>
      </c>
      <c r="F388" s="64">
        <v>215</v>
      </c>
      <c r="G388" s="28" t="s">
        <v>214</v>
      </c>
      <c r="H388" t="s">
        <v>248</v>
      </c>
      <c r="I388" s="83">
        <v>45966</v>
      </c>
      <c r="J388" s="31" t="str">
        <f t="shared" si="6"/>
        <v>70324 45290</v>
      </c>
    </row>
    <row r="389" spans="1:10" ht="16.5" x14ac:dyDescent="0.3">
      <c r="A389">
        <v>389</v>
      </c>
      <c r="B389" s="27" t="s">
        <v>205</v>
      </c>
      <c r="C389" s="46">
        <v>75082055372</v>
      </c>
      <c r="D389" s="62">
        <v>10887</v>
      </c>
      <c r="E389" s="63">
        <v>45301</v>
      </c>
      <c r="F389" s="64">
        <v>269.39999999999998</v>
      </c>
      <c r="G389" s="28" t="s">
        <v>211</v>
      </c>
      <c r="H389" t="s">
        <v>249</v>
      </c>
      <c r="I389" s="83">
        <v>45966</v>
      </c>
      <c r="J389" s="31" t="str">
        <f t="shared" si="6"/>
        <v>10887 45301</v>
      </c>
    </row>
    <row r="390" spans="1:10" ht="16.5" x14ac:dyDescent="0.3">
      <c r="A390">
        <v>390</v>
      </c>
      <c r="B390" s="27" t="s">
        <v>205</v>
      </c>
      <c r="C390" s="46">
        <v>38609223515</v>
      </c>
      <c r="D390" s="62">
        <v>25625</v>
      </c>
      <c r="E390" s="63">
        <v>45301</v>
      </c>
      <c r="F390" s="64">
        <v>264.58999999999997</v>
      </c>
      <c r="G390" s="28" t="s">
        <v>209</v>
      </c>
      <c r="H390" t="s">
        <v>250</v>
      </c>
      <c r="I390" s="83">
        <v>45966</v>
      </c>
      <c r="J390" s="31" t="str">
        <f t="shared" si="6"/>
        <v>25625 45301</v>
      </c>
    </row>
    <row r="391" spans="1:10" ht="16.5" x14ac:dyDescent="0.3">
      <c r="A391">
        <v>391</v>
      </c>
      <c r="B391" s="27" t="s">
        <v>205</v>
      </c>
      <c r="C391" s="46">
        <v>75082055372</v>
      </c>
      <c r="D391" s="62">
        <v>39953</v>
      </c>
      <c r="E391" s="63">
        <v>45301</v>
      </c>
      <c r="F391" s="64">
        <v>280.27</v>
      </c>
      <c r="G391" s="28" t="s">
        <v>211</v>
      </c>
      <c r="H391" t="s">
        <v>251</v>
      </c>
      <c r="I391" s="83">
        <v>45966</v>
      </c>
      <c r="J391" s="31" t="str">
        <f t="shared" si="6"/>
        <v>39953 45301</v>
      </c>
    </row>
    <row r="392" spans="1:10" ht="16.5" x14ac:dyDescent="0.3">
      <c r="A392">
        <v>392</v>
      </c>
      <c r="B392" s="27" t="s">
        <v>205</v>
      </c>
      <c r="C392" s="46">
        <v>41836766149</v>
      </c>
      <c r="D392" s="62">
        <v>55428</v>
      </c>
      <c r="E392" s="63">
        <v>45301</v>
      </c>
      <c r="F392" s="64">
        <v>250.79</v>
      </c>
      <c r="G392" s="28" t="s">
        <v>209</v>
      </c>
      <c r="H392" t="s">
        <v>252</v>
      </c>
      <c r="I392" s="83">
        <v>45966</v>
      </c>
      <c r="J392" s="31" t="str">
        <f t="shared" si="6"/>
        <v>55428 45301</v>
      </c>
    </row>
    <row r="393" spans="1:10" ht="16.5" x14ac:dyDescent="0.3">
      <c r="A393">
        <v>393</v>
      </c>
      <c r="B393" s="27" t="s">
        <v>205</v>
      </c>
      <c r="C393" s="46">
        <v>62871943320</v>
      </c>
      <c r="D393" s="62">
        <v>65524</v>
      </c>
      <c r="E393" s="63">
        <v>45301</v>
      </c>
      <c r="F393" s="64">
        <v>487.62</v>
      </c>
      <c r="G393" s="28" t="s">
        <v>210</v>
      </c>
      <c r="H393" t="s">
        <v>253</v>
      </c>
      <c r="I393" s="83">
        <v>45966</v>
      </c>
      <c r="J393" s="31" t="str">
        <f t="shared" si="6"/>
        <v>65524 45301</v>
      </c>
    </row>
    <row r="394" spans="1:10" ht="16.5" x14ac:dyDescent="0.3">
      <c r="A394">
        <v>394</v>
      </c>
      <c r="B394" s="27" t="s">
        <v>205</v>
      </c>
      <c r="C394" s="46">
        <v>26916860359</v>
      </c>
      <c r="D394" s="62">
        <v>67879</v>
      </c>
      <c r="E394" s="63">
        <v>45301</v>
      </c>
      <c r="F394" s="64">
        <v>336.06</v>
      </c>
      <c r="G394" s="28" t="s">
        <v>212</v>
      </c>
      <c r="H394" t="s">
        <v>254</v>
      </c>
      <c r="I394" s="83">
        <v>45966</v>
      </c>
      <c r="J394" s="31" t="str">
        <f t="shared" si="6"/>
        <v>67879 45301</v>
      </c>
    </row>
    <row r="395" spans="1:10" ht="16.5" x14ac:dyDescent="0.3">
      <c r="A395">
        <v>395</v>
      </c>
      <c r="B395" s="27" t="s">
        <v>205</v>
      </c>
      <c r="C395" s="46">
        <v>98697609372</v>
      </c>
      <c r="D395" s="62">
        <v>69556</v>
      </c>
      <c r="E395" s="63">
        <v>45301</v>
      </c>
      <c r="F395" s="64">
        <v>36</v>
      </c>
      <c r="G395" s="28" t="s">
        <v>213</v>
      </c>
      <c r="H395" t="s">
        <v>255</v>
      </c>
      <c r="I395" s="83">
        <v>45966</v>
      </c>
      <c r="J395" s="31" t="str">
        <f t="shared" si="6"/>
        <v>69556 45301</v>
      </c>
    </row>
    <row r="396" spans="1:10" ht="16.5" x14ac:dyDescent="0.3">
      <c r="A396">
        <v>396</v>
      </c>
      <c r="B396" s="27" t="s">
        <v>205</v>
      </c>
      <c r="C396" s="46">
        <v>70885117387</v>
      </c>
      <c r="D396" s="62">
        <v>48463</v>
      </c>
      <c r="E396" s="63">
        <v>45311</v>
      </c>
      <c r="F396" s="64">
        <v>298.94</v>
      </c>
      <c r="G396" s="28" t="s">
        <v>211</v>
      </c>
      <c r="H396" t="s">
        <v>256</v>
      </c>
      <c r="I396" s="83">
        <v>45966</v>
      </c>
      <c r="J396" s="31" t="str">
        <f t="shared" si="6"/>
        <v>48463 45311</v>
      </c>
    </row>
    <row r="397" spans="1:10" ht="16.5" x14ac:dyDescent="0.3">
      <c r="A397">
        <v>397</v>
      </c>
      <c r="B397" s="27" t="s">
        <v>205</v>
      </c>
      <c r="C397" s="46">
        <v>60332714322</v>
      </c>
      <c r="D397" s="62">
        <v>72242</v>
      </c>
      <c r="E397" s="63">
        <v>45311</v>
      </c>
      <c r="F397" s="64">
        <v>251.83</v>
      </c>
      <c r="G397" s="28" t="s">
        <v>208</v>
      </c>
      <c r="H397" t="s">
        <v>257</v>
      </c>
      <c r="I397" s="83">
        <v>45966</v>
      </c>
      <c r="J397" s="31" t="str">
        <f t="shared" si="6"/>
        <v>72242 45311</v>
      </c>
    </row>
    <row r="398" spans="1:10" ht="16.5" x14ac:dyDescent="0.3">
      <c r="A398">
        <v>398</v>
      </c>
      <c r="B398" s="27" t="s">
        <v>205</v>
      </c>
      <c r="C398" s="46">
        <v>61012583350</v>
      </c>
      <c r="D398" s="62">
        <v>67045</v>
      </c>
      <c r="E398" s="63">
        <v>45321</v>
      </c>
      <c r="F398" s="64">
        <v>74.599999999999994</v>
      </c>
      <c r="G398" s="28" t="s">
        <v>210</v>
      </c>
      <c r="H398" t="s">
        <v>258</v>
      </c>
      <c r="I398" s="83">
        <v>45966</v>
      </c>
      <c r="J398" s="31" t="str">
        <f t="shared" si="6"/>
        <v>67045 45321</v>
      </c>
    </row>
    <row r="399" spans="1:10" ht="16.5" x14ac:dyDescent="0.3">
      <c r="A399">
        <v>399</v>
      </c>
      <c r="B399" s="27" t="s">
        <v>205</v>
      </c>
      <c r="C399" s="46" t="s">
        <v>130</v>
      </c>
      <c r="D399" s="62">
        <v>71398</v>
      </c>
      <c r="E399" s="63">
        <v>45301</v>
      </c>
      <c r="F399" s="64">
        <v>72</v>
      </c>
      <c r="G399" s="28" t="s">
        <v>214</v>
      </c>
      <c r="H399" t="s">
        <v>259</v>
      </c>
      <c r="I399" s="83">
        <v>45966</v>
      </c>
      <c r="J399" s="31" t="str">
        <f t="shared" si="6"/>
        <v>71398 45301</v>
      </c>
    </row>
    <row r="400" spans="1:10" ht="16.5" x14ac:dyDescent="0.3">
      <c r="A400">
        <v>400</v>
      </c>
      <c r="B400" s="27" t="s">
        <v>205</v>
      </c>
      <c r="C400" s="46">
        <v>38609223515</v>
      </c>
      <c r="D400" s="62">
        <v>25625</v>
      </c>
      <c r="E400" s="63">
        <v>45332</v>
      </c>
      <c r="F400" s="64">
        <v>264.58999999999997</v>
      </c>
      <c r="G400" s="28" t="s">
        <v>209</v>
      </c>
      <c r="H400" t="s">
        <v>260</v>
      </c>
      <c r="I400" s="83">
        <v>45966</v>
      </c>
      <c r="J400" s="31" t="str">
        <f t="shared" si="6"/>
        <v>25625 45332</v>
      </c>
    </row>
    <row r="401" spans="1:10" ht="16.5" x14ac:dyDescent="0.3">
      <c r="A401">
        <v>401</v>
      </c>
      <c r="B401" s="27" t="s">
        <v>205</v>
      </c>
      <c r="C401" s="46">
        <v>26916860359</v>
      </c>
      <c r="D401" s="62">
        <v>67879</v>
      </c>
      <c r="E401" s="63">
        <v>45332</v>
      </c>
      <c r="F401" s="64">
        <v>53.78</v>
      </c>
      <c r="G401" s="28" t="s">
        <v>212</v>
      </c>
      <c r="H401" t="s">
        <v>261</v>
      </c>
      <c r="I401" s="83">
        <v>45966</v>
      </c>
      <c r="J401" s="31" t="str">
        <f t="shared" si="6"/>
        <v>67879 45332</v>
      </c>
    </row>
    <row r="402" spans="1:10" ht="16.5" x14ac:dyDescent="0.3">
      <c r="A402">
        <v>402</v>
      </c>
      <c r="B402" s="27" t="s">
        <v>205</v>
      </c>
      <c r="C402" s="46">
        <v>70885117387</v>
      </c>
      <c r="D402" s="62">
        <v>48463</v>
      </c>
      <c r="E402" s="63">
        <v>45342</v>
      </c>
      <c r="F402" s="64">
        <v>307.87</v>
      </c>
      <c r="G402" s="28" t="s">
        <v>211</v>
      </c>
      <c r="H402" t="s">
        <v>262</v>
      </c>
      <c r="I402" s="83">
        <v>45966</v>
      </c>
      <c r="J402" s="31" t="str">
        <f t="shared" si="6"/>
        <v>48463 45342</v>
      </c>
    </row>
    <row r="403" spans="1:10" ht="16.5" x14ac:dyDescent="0.3">
      <c r="A403">
        <v>403</v>
      </c>
      <c r="B403" s="27" t="s">
        <v>205</v>
      </c>
      <c r="C403" s="46">
        <v>55394540225</v>
      </c>
      <c r="D403" s="62">
        <v>69451</v>
      </c>
      <c r="E403" s="63">
        <v>45342</v>
      </c>
      <c r="F403" s="64">
        <v>93.72</v>
      </c>
      <c r="G403" s="28" t="s">
        <v>208</v>
      </c>
      <c r="H403" t="s">
        <v>263</v>
      </c>
      <c r="I403" s="83">
        <v>45966</v>
      </c>
      <c r="J403" s="31" t="str">
        <f t="shared" si="6"/>
        <v>69451 45342</v>
      </c>
    </row>
    <row r="404" spans="1:10" ht="16.5" x14ac:dyDescent="0.3">
      <c r="A404">
        <v>404</v>
      </c>
      <c r="B404" s="27" t="s">
        <v>205</v>
      </c>
      <c r="C404" s="46">
        <v>62730581308</v>
      </c>
      <c r="D404" s="62">
        <v>70411</v>
      </c>
      <c r="E404" s="63">
        <v>45342</v>
      </c>
      <c r="F404" s="64">
        <v>234.77</v>
      </c>
      <c r="G404" s="28" t="s">
        <v>210</v>
      </c>
      <c r="H404" t="s">
        <v>264</v>
      </c>
      <c r="I404" s="83">
        <v>45966</v>
      </c>
      <c r="J404" s="31" t="str">
        <f t="shared" si="6"/>
        <v>70411 45342</v>
      </c>
    </row>
    <row r="405" spans="1:10" ht="16.5" x14ac:dyDescent="0.3">
      <c r="A405">
        <v>405</v>
      </c>
      <c r="B405" s="27" t="s">
        <v>205</v>
      </c>
      <c r="C405" s="46">
        <v>60332714322</v>
      </c>
      <c r="D405" s="62">
        <v>72242</v>
      </c>
      <c r="E405" s="63">
        <v>45342</v>
      </c>
      <c r="F405" s="64">
        <v>251.83</v>
      </c>
      <c r="G405" s="28" t="s">
        <v>208</v>
      </c>
      <c r="H405" t="s">
        <v>265</v>
      </c>
      <c r="I405" s="83">
        <v>45966</v>
      </c>
      <c r="J405" s="31" t="str">
        <f t="shared" si="6"/>
        <v>72242 45342</v>
      </c>
    </row>
    <row r="406" spans="1:10" ht="16.5" x14ac:dyDescent="0.3">
      <c r="A406">
        <v>406</v>
      </c>
      <c r="B406" s="27" t="s">
        <v>205</v>
      </c>
      <c r="C406" s="46">
        <v>83595139372</v>
      </c>
      <c r="D406" s="62">
        <v>43305</v>
      </c>
      <c r="E406" s="63">
        <v>45332</v>
      </c>
      <c r="F406" s="64">
        <v>34.659999999999997</v>
      </c>
      <c r="G406" s="28" t="s">
        <v>211</v>
      </c>
      <c r="H406" t="s">
        <v>266</v>
      </c>
      <c r="I406" s="83">
        <v>45966</v>
      </c>
      <c r="J406" s="31" t="str">
        <f t="shared" si="6"/>
        <v>43305 45332</v>
      </c>
    </row>
    <row r="407" spans="1:10" ht="16.5" x14ac:dyDescent="0.3">
      <c r="A407">
        <v>407</v>
      </c>
      <c r="B407" s="27" t="s">
        <v>205</v>
      </c>
      <c r="C407" s="46">
        <v>61236641310</v>
      </c>
      <c r="D407" s="62">
        <v>68274</v>
      </c>
      <c r="E407" s="63">
        <v>45342</v>
      </c>
      <c r="F407" s="64">
        <v>36</v>
      </c>
      <c r="G407" s="28" t="s">
        <v>210</v>
      </c>
      <c r="H407" t="s">
        <v>267</v>
      </c>
      <c r="I407" s="83">
        <v>45966</v>
      </c>
      <c r="J407" s="31" t="str">
        <f t="shared" si="6"/>
        <v>68274 45342</v>
      </c>
    </row>
    <row r="408" spans="1:10" ht="16.5" x14ac:dyDescent="0.3">
      <c r="A408">
        <v>408</v>
      </c>
      <c r="B408" s="27" t="s">
        <v>205</v>
      </c>
      <c r="C408" s="46">
        <v>60754470326</v>
      </c>
      <c r="D408" s="62">
        <v>68778</v>
      </c>
      <c r="E408" s="63">
        <v>45351</v>
      </c>
      <c r="F408" s="64">
        <v>289.39999999999998</v>
      </c>
      <c r="G408" s="28" t="s">
        <v>210</v>
      </c>
      <c r="H408" t="s">
        <v>268</v>
      </c>
      <c r="I408" s="83">
        <v>45966</v>
      </c>
      <c r="J408" s="31" t="str">
        <f t="shared" si="6"/>
        <v>68778 45351</v>
      </c>
    </row>
    <row r="409" spans="1:10" ht="16.5" x14ac:dyDescent="0.3">
      <c r="A409">
        <v>409</v>
      </c>
      <c r="B409" s="27" t="s">
        <v>205</v>
      </c>
      <c r="C409" s="46">
        <v>34488650368</v>
      </c>
      <c r="D409" s="62">
        <v>71381</v>
      </c>
      <c r="E409" s="63">
        <v>45351</v>
      </c>
      <c r="F409" s="64">
        <v>228.8</v>
      </c>
      <c r="G409" s="28" t="s">
        <v>209</v>
      </c>
      <c r="H409" t="s">
        <v>269</v>
      </c>
      <c r="I409" s="83">
        <v>45966</v>
      </c>
      <c r="J409" s="31" t="str">
        <f t="shared" si="6"/>
        <v>71381 45351</v>
      </c>
    </row>
    <row r="410" spans="1:10" ht="16.5" x14ac:dyDescent="0.3">
      <c r="A410">
        <v>410</v>
      </c>
      <c r="B410" s="27" t="s">
        <v>205</v>
      </c>
      <c r="C410" s="46">
        <v>96239085391</v>
      </c>
      <c r="D410" s="62">
        <v>72000</v>
      </c>
      <c r="E410" s="63">
        <v>45351</v>
      </c>
      <c r="F410" s="64">
        <v>407.42</v>
      </c>
      <c r="G410" s="28" t="s">
        <v>213</v>
      </c>
      <c r="H410" t="s">
        <v>270</v>
      </c>
      <c r="I410" s="83">
        <v>45966</v>
      </c>
      <c r="J410" s="31" t="str">
        <f t="shared" si="6"/>
        <v>72000 45351</v>
      </c>
    </row>
    <row r="411" spans="1:10" ht="16.5" x14ac:dyDescent="0.3">
      <c r="A411">
        <v>411</v>
      </c>
      <c r="B411" s="27" t="s">
        <v>205</v>
      </c>
      <c r="C411" s="46">
        <v>85957011134</v>
      </c>
      <c r="D411" s="62">
        <v>72168</v>
      </c>
      <c r="E411" s="63">
        <v>45351</v>
      </c>
      <c r="F411" s="64">
        <v>251.83</v>
      </c>
      <c r="G411" s="28" t="s">
        <v>211</v>
      </c>
      <c r="H411" t="s">
        <v>271</v>
      </c>
      <c r="I411" s="83">
        <v>45966</v>
      </c>
      <c r="J411" s="31" t="str">
        <f t="shared" si="6"/>
        <v>72168 45351</v>
      </c>
    </row>
    <row r="412" spans="1:10" ht="16.5" x14ac:dyDescent="0.3">
      <c r="A412">
        <v>412</v>
      </c>
      <c r="B412" s="27" t="s">
        <v>205</v>
      </c>
      <c r="C412" s="46">
        <v>92546803387</v>
      </c>
      <c r="D412" s="62">
        <v>42294</v>
      </c>
      <c r="E412" s="63">
        <v>45361</v>
      </c>
      <c r="F412" s="64">
        <v>197.3</v>
      </c>
      <c r="G412" s="28" t="s">
        <v>211</v>
      </c>
      <c r="H412" t="s">
        <v>272</v>
      </c>
      <c r="I412" s="83">
        <v>45966</v>
      </c>
      <c r="J412" s="31" t="str">
        <f t="shared" si="6"/>
        <v>42294 45361</v>
      </c>
    </row>
    <row r="413" spans="1:10" ht="16.5" x14ac:dyDescent="0.3">
      <c r="A413">
        <v>413</v>
      </c>
      <c r="B413" s="27" t="s">
        <v>205</v>
      </c>
      <c r="C413" s="46">
        <v>61273319354</v>
      </c>
      <c r="D413" s="62">
        <v>71394</v>
      </c>
      <c r="E413" s="63">
        <v>45361</v>
      </c>
      <c r="F413" s="64">
        <v>210.65</v>
      </c>
      <c r="G413" s="28" t="s">
        <v>210</v>
      </c>
      <c r="H413" t="s">
        <v>273</v>
      </c>
      <c r="I413" s="83">
        <v>45966</v>
      </c>
      <c r="J413" s="31" t="str">
        <f t="shared" si="6"/>
        <v>71394 45361</v>
      </c>
    </row>
    <row r="414" spans="1:10" ht="16.5" x14ac:dyDescent="0.3">
      <c r="A414">
        <v>414</v>
      </c>
      <c r="B414" s="27" t="s">
        <v>205</v>
      </c>
      <c r="C414" s="46">
        <v>70885117387</v>
      </c>
      <c r="D414" s="62">
        <v>48463</v>
      </c>
      <c r="E414" s="63">
        <v>45371</v>
      </c>
      <c r="F414" s="64">
        <v>54.89</v>
      </c>
      <c r="G414" s="28" t="s">
        <v>211</v>
      </c>
      <c r="H414" t="s">
        <v>274</v>
      </c>
      <c r="I414" s="83">
        <v>45966</v>
      </c>
      <c r="J414" s="31" t="str">
        <f t="shared" si="6"/>
        <v>48463 45371</v>
      </c>
    </row>
    <row r="415" spans="1:10" ht="16.5" x14ac:dyDescent="0.3">
      <c r="A415">
        <v>415</v>
      </c>
      <c r="B415" s="27" t="s">
        <v>205</v>
      </c>
      <c r="C415" s="46">
        <v>98148923353</v>
      </c>
      <c r="D415" s="62">
        <v>51331</v>
      </c>
      <c r="E415" s="63">
        <v>45371</v>
      </c>
      <c r="F415" s="64">
        <v>827.98</v>
      </c>
      <c r="G415" s="28" t="s">
        <v>213</v>
      </c>
      <c r="H415" t="s">
        <v>275</v>
      </c>
      <c r="I415" s="83">
        <v>45966</v>
      </c>
      <c r="J415" s="31" t="str">
        <f t="shared" si="6"/>
        <v>51331 45371</v>
      </c>
    </row>
    <row r="416" spans="1:10" ht="16.5" x14ac:dyDescent="0.3">
      <c r="A416">
        <v>416</v>
      </c>
      <c r="B416" s="27" t="s">
        <v>205</v>
      </c>
      <c r="C416" s="46">
        <v>48786500368</v>
      </c>
      <c r="D416" s="62">
        <v>49965</v>
      </c>
      <c r="E416" s="63">
        <v>45371</v>
      </c>
      <c r="F416" s="64">
        <v>144.1</v>
      </c>
      <c r="G416" s="28" t="s">
        <v>208</v>
      </c>
      <c r="H416" t="s">
        <v>276</v>
      </c>
      <c r="I416" s="83">
        <v>45966</v>
      </c>
      <c r="J416" s="31" t="str">
        <f t="shared" si="6"/>
        <v>49965 45371</v>
      </c>
    </row>
    <row r="417" spans="1:10" ht="16.5" x14ac:dyDescent="0.3">
      <c r="A417">
        <v>417</v>
      </c>
      <c r="B417" s="27" t="s">
        <v>205</v>
      </c>
      <c r="C417" s="46">
        <v>61012583350</v>
      </c>
      <c r="D417" s="62">
        <v>67045</v>
      </c>
      <c r="E417" s="63">
        <v>45381</v>
      </c>
      <c r="F417" s="64">
        <v>99.97</v>
      </c>
      <c r="G417" s="28" t="s">
        <v>210</v>
      </c>
      <c r="H417" t="s">
        <v>277</v>
      </c>
      <c r="I417" s="83">
        <v>45966</v>
      </c>
      <c r="J417" s="31" t="str">
        <f t="shared" si="6"/>
        <v>67045 45381</v>
      </c>
    </row>
    <row r="418" spans="1:10" ht="16.5" x14ac:dyDescent="0.3">
      <c r="A418">
        <v>418</v>
      </c>
      <c r="B418" s="27" t="s">
        <v>205</v>
      </c>
      <c r="C418" s="46">
        <v>55394540225</v>
      </c>
      <c r="D418" s="62">
        <v>69451</v>
      </c>
      <c r="E418" s="63">
        <v>45371</v>
      </c>
      <c r="F418" s="64">
        <v>17.850000000000001</v>
      </c>
      <c r="G418" s="28" t="s">
        <v>208</v>
      </c>
      <c r="H418" t="s">
        <v>278</v>
      </c>
      <c r="I418" s="83">
        <v>45966</v>
      </c>
      <c r="J418" s="31" t="str">
        <f t="shared" si="6"/>
        <v>69451 45371</v>
      </c>
    </row>
    <row r="419" spans="1:10" ht="16.5" x14ac:dyDescent="0.3">
      <c r="A419">
        <v>419</v>
      </c>
      <c r="B419" s="27" t="s">
        <v>205</v>
      </c>
      <c r="C419" s="46" t="s">
        <v>128</v>
      </c>
      <c r="D419" s="62">
        <v>70324</v>
      </c>
      <c r="E419" s="63">
        <v>45381</v>
      </c>
      <c r="F419" s="64">
        <v>210</v>
      </c>
      <c r="G419" s="28" t="s">
        <v>214</v>
      </c>
      <c r="H419" t="s">
        <v>279</v>
      </c>
      <c r="I419" s="83">
        <v>45966</v>
      </c>
      <c r="J419" s="31" t="str">
        <f t="shared" si="6"/>
        <v>70324 45381</v>
      </c>
    </row>
    <row r="420" spans="1:10" ht="16.5" x14ac:dyDescent="0.3">
      <c r="A420">
        <v>420</v>
      </c>
      <c r="B420" s="27" t="s">
        <v>205</v>
      </c>
      <c r="C420" s="46">
        <v>34488650368</v>
      </c>
      <c r="D420" s="62">
        <v>71381</v>
      </c>
      <c r="E420" s="63">
        <v>45381</v>
      </c>
      <c r="F420" s="64">
        <v>246.65</v>
      </c>
      <c r="G420" s="28" t="s">
        <v>209</v>
      </c>
      <c r="H420" t="s">
        <v>463</v>
      </c>
      <c r="I420" s="83">
        <v>45966</v>
      </c>
      <c r="J420" s="31" t="str">
        <f t="shared" si="6"/>
        <v>71381 45381</v>
      </c>
    </row>
    <row r="421" spans="1:10" ht="16.5" x14ac:dyDescent="0.3">
      <c r="A421">
        <v>421</v>
      </c>
      <c r="B421" s="27" t="s">
        <v>205</v>
      </c>
      <c r="C421" s="46">
        <v>85957011134</v>
      </c>
      <c r="D421" s="62">
        <v>72168</v>
      </c>
      <c r="E421" s="63">
        <v>45381</v>
      </c>
      <c r="F421" s="64">
        <v>251.83</v>
      </c>
      <c r="G421" s="28" t="s">
        <v>211</v>
      </c>
      <c r="H421" t="s">
        <v>118</v>
      </c>
      <c r="I421" s="83">
        <v>45966</v>
      </c>
      <c r="J421" s="31" t="str">
        <f t="shared" si="6"/>
        <v>72168 45381</v>
      </c>
    </row>
    <row r="422" spans="1:10" ht="16.5" x14ac:dyDescent="0.3">
      <c r="A422">
        <v>422</v>
      </c>
      <c r="B422" s="27" t="s">
        <v>205</v>
      </c>
      <c r="C422" s="46">
        <v>92546803387</v>
      </c>
      <c r="D422" s="62">
        <v>42294</v>
      </c>
      <c r="E422" s="63">
        <v>45392</v>
      </c>
      <c r="F422" s="64">
        <v>197.3</v>
      </c>
      <c r="G422" s="28" t="s">
        <v>211</v>
      </c>
      <c r="H422" t="s">
        <v>463</v>
      </c>
      <c r="I422" s="83">
        <v>45966</v>
      </c>
      <c r="J422" s="31" t="str">
        <f t="shared" si="6"/>
        <v>42294 45392</v>
      </c>
    </row>
    <row r="423" spans="1:10" ht="16.5" x14ac:dyDescent="0.3">
      <c r="A423">
        <v>423</v>
      </c>
      <c r="B423" s="27" t="s">
        <v>205</v>
      </c>
      <c r="C423" s="46">
        <v>40196950325</v>
      </c>
      <c r="D423" s="62">
        <v>43916</v>
      </c>
      <c r="E423" s="63">
        <v>45402</v>
      </c>
      <c r="F423" s="64">
        <v>35.200000000000003</v>
      </c>
      <c r="G423" s="28" t="s">
        <v>209</v>
      </c>
      <c r="H423" t="s">
        <v>118</v>
      </c>
      <c r="I423" s="83">
        <v>45966</v>
      </c>
      <c r="J423" s="31" t="str">
        <f t="shared" si="6"/>
        <v>43916 45402</v>
      </c>
    </row>
    <row r="424" spans="1:10" ht="16.5" x14ac:dyDescent="0.3">
      <c r="A424">
        <v>424</v>
      </c>
      <c r="B424" s="27" t="s">
        <v>205</v>
      </c>
      <c r="C424" s="46">
        <v>48786500368</v>
      </c>
      <c r="D424" s="62">
        <v>49965</v>
      </c>
      <c r="E424" s="63">
        <v>45402</v>
      </c>
      <c r="F424" s="64">
        <v>162.16</v>
      </c>
      <c r="G424" s="28" t="s">
        <v>208</v>
      </c>
      <c r="H424" t="s">
        <v>463</v>
      </c>
      <c r="I424" s="83">
        <v>45966</v>
      </c>
      <c r="J424" s="31" t="str">
        <f t="shared" si="6"/>
        <v>49965 45402</v>
      </c>
    </row>
    <row r="425" spans="1:10" ht="16.5" x14ac:dyDescent="0.3">
      <c r="A425">
        <v>425</v>
      </c>
      <c r="B425" s="27" t="s">
        <v>205</v>
      </c>
      <c r="C425" s="46">
        <v>61576709329</v>
      </c>
      <c r="D425" s="62">
        <v>72027</v>
      </c>
      <c r="E425" s="63">
        <v>45402</v>
      </c>
      <c r="F425" s="64">
        <v>229.2</v>
      </c>
      <c r="G425" s="28" t="s">
        <v>210</v>
      </c>
      <c r="H425" t="s">
        <v>463</v>
      </c>
      <c r="I425" s="83">
        <v>45966</v>
      </c>
      <c r="J425" s="31" t="str">
        <f t="shared" si="6"/>
        <v>72027 45402</v>
      </c>
    </row>
    <row r="426" spans="1:10" ht="16.5" x14ac:dyDescent="0.3">
      <c r="A426">
        <v>426</v>
      </c>
      <c r="B426" s="27" t="s">
        <v>205</v>
      </c>
      <c r="C426" s="46">
        <v>95117113349</v>
      </c>
      <c r="D426" s="62">
        <v>58278</v>
      </c>
      <c r="E426" s="63">
        <v>45432</v>
      </c>
      <c r="F426" s="64">
        <v>242.18</v>
      </c>
      <c r="G426" s="28" t="s">
        <v>211</v>
      </c>
      <c r="H426" t="s">
        <v>463</v>
      </c>
      <c r="I426" s="83">
        <v>45966</v>
      </c>
      <c r="J426" s="31" t="str">
        <f t="shared" si="6"/>
        <v>58278 45432</v>
      </c>
    </row>
    <row r="427" spans="1:10" ht="16.5" x14ac:dyDescent="0.3">
      <c r="A427">
        <v>427</v>
      </c>
      <c r="B427" s="27" t="s">
        <v>205</v>
      </c>
      <c r="C427" s="46">
        <v>74432664304</v>
      </c>
      <c r="D427" s="62">
        <v>69950</v>
      </c>
      <c r="E427" s="63">
        <v>45432</v>
      </c>
      <c r="F427" s="64">
        <v>586.17999999999995</v>
      </c>
      <c r="G427" s="28" t="s">
        <v>211</v>
      </c>
      <c r="H427" t="s">
        <v>463</v>
      </c>
      <c r="I427" s="83">
        <v>45966</v>
      </c>
      <c r="J427" s="31" t="str">
        <f t="shared" si="6"/>
        <v>69950 45432</v>
      </c>
    </row>
    <row r="428" spans="1:10" ht="16.5" x14ac:dyDescent="0.3">
      <c r="A428">
        <v>428</v>
      </c>
      <c r="B428" s="27" t="s">
        <v>205</v>
      </c>
      <c r="C428" s="47">
        <v>61576709329</v>
      </c>
      <c r="D428" s="62">
        <v>72027</v>
      </c>
      <c r="E428" s="63">
        <v>45432</v>
      </c>
      <c r="F428" s="64">
        <v>178.68</v>
      </c>
      <c r="G428" s="32" t="s">
        <v>282</v>
      </c>
      <c r="H428" t="s">
        <v>463</v>
      </c>
      <c r="I428" s="83">
        <v>45966</v>
      </c>
      <c r="J428" s="31" t="str">
        <f t="shared" si="6"/>
        <v>72027 45432</v>
      </c>
    </row>
    <row r="429" spans="1:10" ht="16.5" x14ac:dyDescent="0.3">
      <c r="A429">
        <v>429</v>
      </c>
      <c r="B429" s="27" t="s">
        <v>205</v>
      </c>
      <c r="C429" s="47">
        <v>60742885348</v>
      </c>
      <c r="D429" s="62">
        <v>72649</v>
      </c>
      <c r="E429" s="63">
        <v>45432</v>
      </c>
      <c r="F429" s="64">
        <v>36</v>
      </c>
      <c r="G429" s="32" t="s">
        <v>282</v>
      </c>
      <c r="H429" t="s">
        <v>463</v>
      </c>
      <c r="I429" s="83">
        <v>45966</v>
      </c>
      <c r="J429" s="31" t="str">
        <f t="shared" si="6"/>
        <v>72649 45432</v>
      </c>
    </row>
    <row r="430" spans="1:10" ht="16.5" x14ac:dyDescent="0.3">
      <c r="A430">
        <v>430</v>
      </c>
      <c r="B430" s="27" t="s">
        <v>205</v>
      </c>
      <c r="C430" s="47">
        <v>60742885348</v>
      </c>
      <c r="D430" s="62">
        <v>72650</v>
      </c>
      <c r="E430" s="63">
        <v>45432</v>
      </c>
      <c r="F430" s="64">
        <v>43.14</v>
      </c>
      <c r="G430" s="32" t="s">
        <v>282</v>
      </c>
      <c r="H430" t="s">
        <v>463</v>
      </c>
      <c r="I430" s="83">
        <v>45966</v>
      </c>
      <c r="J430" s="31" t="str">
        <f t="shared" si="6"/>
        <v>72650 45432</v>
      </c>
    </row>
    <row r="431" spans="1:10" ht="16.5" x14ac:dyDescent="0.3">
      <c r="A431">
        <v>431</v>
      </c>
      <c r="B431" s="27" t="s">
        <v>205</v>
      </c>
      <c r="C431" s="48" t="s">
        <v>122</v>
      </c>
      <c r="D431" s="55">
        <v>65524</v>
      </c>
      <c r="E431" s="56">
        <v>45332</v>
      </c>
      <c r="F431" s="48">
        <v>172.02</v>
      </c>
      <c r="G431" s="32" t="s">
        <v>282</v>
      </c>
      <c r="H431" t="s">
        <v>215</v>
      </c>
      <c r="I431" s="32" t="s">
        <v>475</v>
      </c>
      <c r="J431" s="31" t="str">
        <f t="shared" si="6"/>
        <v>65524 45332</v>
      </c>
    </row>
    <row r="432" spans="1:10" ht="16.5" x14ac:dyDescent="0.3">
      <c r="A432">
        <v>432</v>
      </c>
      <c r="B432" s="27" t="s">
        <v>205</v>
      </c>
      <c r="C432" s="48" t="s">
        <v>122</v>
      </c>
      <c r="D432" s="55">
        <v>65524</v>
      </c>
      <c r="E432" s="56">
        <v>45270</v>
      </c>
      <c r="F432" s="48">
        <v>21.47</v>
      </c>
      <c r="G432" s="32" t="s">
        <v>282</v>
      </c>
      <c r="H432" t="s">
        <v>215</v>
      </c>
      <c r="I432" s="32" t="s">
        <v>475</v>
      </c>
      <c r="J432" s="31" t="str">
        <f t="shared" si="6"/>
        <v>65524 45270</v>
      </c>
    </row>
    <row r="433" spans="1:10" ht="16.5" x14ac:dyDescent="0.3">
      <c r="A433">
        <v>433</v>
      </c>
      <c r="B433" s="27" t="s">
        <v>205</v>
      </c>
      <c r="C433" s="48" t="s">
        <v>123</v>
      </c>
      <c r="D433" s="55">
        <v>66932</v>
      </c>
      <c r="E433" s="56">
        <v>45422</v>
      </c>
      <c r="F433" s="48">
        <v>502.39</v>
      </c>
      <c r="G433" s="32" t="s">
        <v>282</v>
      </c>
      <c r="H433" t="s">
        <v>215</v>
      </c>
      <c r="I433" s="32" t="s">
        <v>475</v>
      </c>
      <c r="J433" s="31" t="str">
        <f t="shared" si="6"/>
        <v>66932 45422</v>
      </c>
    </row>
    <row r="434" spans="1:10" ht="16.5" x14ac:dyDescent="0.3">
      <c r="A434">
        <v>434</v>
      </c>
      <c r="B434" s="27" t="s">
        <v>205</v>
      </c>
      <c r="C434" s="48" t="s">
        <v>123</v>
      </c>
      <c r="D434" s="55">
        <v>66932</v>
      </c>
      <c r="E434" s="56">
        <v>45453</v>
      </c>
      <c r="F434" s="48">
        <v>502.39</v>
      </c>
      <c r="G434" s="32" t="s">
        <v>282</v>
      </c>
      <c r="H434" t="s">
        <v>215</v>
      </c>
      <c r="I434" s="32" t="s">
        <v>475</v>
      </c>
      <c r="J434" s="31" t="str">
        <f t="shared" si="6"/>
        <v>66932 45453</v>
      </c>
    </row>
    <row r="435" spans="1:10" ht="16.5" x14ac:dyDescent="0.3">
      <c r="A435">
        <v>435</v>
      </c>
      <c r="B435" s="27" t="s">
        <v>205</v>
      </c>
      <c r="C435" s="49">
        <v>61576709329</v>
      </c>
      <c r="D435" s="50">
        <v>72027</v>
      </c>
      <c r="E435" s="65">
        <v>45432</v>
      </c>
      <c r="F435" s="57">
        <v>178.68</v>
      </c>
      <c r="G435" s="32" t="s">
        <v>282</v>
      </c>
      <c r="H435" t="s">
        <v>464</v>
      </c>
      <c r="I435" s="83">
        <v>45960</v>
      </c>
      <c r="J435" s="31" t="str">
        <f t="shared" si="6"/>
        <v>72027 45432</v>
      </c>
    </row>
    <row r="436" spans="1:10" ht="16.5" x14ac:dyDescent="0.3">
      <c r="A436">
        <v>436</v>
      </c>
      <c r="B436" s="27" t="s">
        <v>205</v>
      </c>
      <c r="C436" s="49">
        <v>60742885348</v>
      </c>
      <c r="D436" s="50">
        <v>72650</v>
      </c>
      <c r="E436" s="65">
        <v>45432</v>
      </c>
      <c r="F436" s="57">
        <v>43.14</v>
      </c>
      <c r="G436" s="32" t="s">
        <v>282</v>
      </c>
      <c r="H436" s="21" t="s">
        <v>118</v>
      </c>
      <c r="I436" s="32" t="s">
        <v>475</v>
      </c>
      <c r="J436" s="31" t="str">
        <f t="shared" si="6"/>
        <v>72650 45432</v>
      </c>
    </row>
    <row r="437" spans="1:10" ht="16.5" x14ac:dyDescent="0.3">
      <c r="A437">
        <v>437</v>
      </c>
      <c r="B437" s="27" t="s">
        <v>205</v>
      </c>
      <c r="C437" s="49">
        <v>60742885348</v>
      </c>
      <c r="D437" s="50">
        <v>72649</v>
      </c>
      <c r="E437" s="65">
        <v>45432</v>
      </c>
      <c r="F437" s="57">
        <v>36</v>
      </c>
      <c r="G437" s="32" t="s">
        <v>282</v>
      </c>
      <c r="H437" s="21" t="s">
        <v>118</v>
      </c>
      <c r="I437" s="32" t="s">
        <v>475</v>
      </c>
      <c r="J437" s="31" t="str">
        <f t="shared" si="6"/>
        <v>72649 45432</v>
      </c>
    </row>
    <row r="438" spans="1:10" ht="16.5" x14ac:dyDescent="0.3">
      <c r="A438">
        <v>438</v>
      </c>
      <c r="B438" s="27" t="s">
        <v>205</v>
      </c>
      <c r="C438" s="50">
        <v>10176291962</v>
      </c>
      <c r="D438" s="50">
        <v>67561</v>
      </c>
      <c r="E438" s="65">
        <v>45097</v>
      </c>
      <c r="F438" s="57">
        <v>9.11</v>
      </c>
      <c r="G438" s="32" t="s">
        <v>282</v>
      </c>
      <c r="H438" s="21" t="s">
        <v>118</v>
      </c>
      <c r="I438" s="32" t="s">
        <v>475</v>
      </c>
      <c r="J438" s="31" t="str">
        <f t="shared" si="6"/>
        <v>67561 45097</v>
      </c>
    </row>
    <row r="439" spans="1:10" ht="16.5" x14ac:dyDescent="0.3">
      <c r="A439">
        <v>439</v>
      </c>
      <c r="B439" s="27" t="s">
        <v>205</v>
      </c>
      <c r="C439" s="50">
        <v>10176291962</v>
      </c>
      <c r="D439" s="50">
        <v>67561</v>
      </c>
      <c r="E439" s="65">
        <v>45066</v>
      </c>
      <c r="F439" s="57">
        <v>168.73</v>
      </c>
      <c r="G439" s="32" t="s">
        <v>282</v>
      </c>
      <c r="H439" s="21" t="s">
        <v>118</v>
      </c>
      <c r="I439" s="32" t="s">
        <v>475</v>
      </c>
      <c r="J439" s="31" t="str">
        <f t="shared" si="6"/>
        <v>67561 45066</v>
      </c>
    </row>
    <row r="440" spans="1:10" ht="16.5" x14ac:dyDescent="0.3">
      <c r="A440">
        <v>440</v>
      </c>
      <c r="B440" s="27" t="s">
        <v>205</v>
      </c>
      <c r="C440" s="50">
        <v>10176291962</v>
      </c>
      <c r="D440" s="50">
        <v>67561</v>
      </c>
      <c r="E440" s="65">
        <v>45005</v>
      </c>
      <c r="F440" s="57">
        <v>437.04</v>
      </c>
      <c r="G440" s="32" t="s">
        <v>282</v>
      </c>
      <c r="H440" s="21" t="s">
        <v>118</v>
      </c>
      <c r="I440" s="32" t="s">
        <v>475</v>
      </c>
      <c r="J440" s="31" t="str">
        <f t="shared" si="6"/>
        <v>67561 45005</v>
      </c>
    </row>
    <row r="441" spans="1:10" ht="16.5" x14ac:dyDescent="0.3">
      <c r="A441">
        <v>441</v>
      </c>
      <c r="B441" s="27" t="s">
        <v>205</v>
      </c>
      <c r="C441" s="50">
        <v>10176291962</v>
      </c>
      <c r="D441" s="50">
        <v>67561</v>
      </c>
      <c r="E441" s="65">
        <v>45036</v>
      </c>
      <c r="F441" s="57">
        <v>157.30000000000001</v>
      </c>
      <c r="G441" s="32" t="s">
        <v>282</v>
      </c>
      <c r="H441" s="21" t="s">
        <v>118</v>
      </c>
      <c r="I441" s="32" t="s">
        <v>475</v>
      </c>
      <c r="J441" s="31" t="str">
        <f t="shared" si="6"/>
        <v>67561 45036</v>
      </c>
    </row>
    <row r="442" spans="1:10" ht="16.5" x14ac:dyDescent="0.3">
      <c r="A442">
        <v>442</v>
      </c>
      <c r="B442" s="27" t="s">
        <v>205</v>
      </c>
      <c r="C442" s="50">
        <v>10560022395</v>
      </c>
      <c r="D442" s="50">
        <v>71905</v>
      </c>
      <c r="E442" s="65">
        <v>44956</v>
      </c>
      <c r="F442" s="57">
        <v>24.25</v>
      </c>
      <c r="G442" s="32" t="s">
        <v>282</v>
      </c>
      <c r="H442" s="21" t="s">
        <v>118</v>
      </c>
      <c r="I442" s="32" t="s">
        <v>475</v>
      </c>
      <c r="J442" s="31" t="str">
        <f t="shared" si="6"/>
        <v>71905 44956</v>
      </c>
    </row>
    <row r="443" spans="1:10" ht="16.5" x14ac:dyDescent="0.3">
      <c r="A443">
        <v>443</v>
      </c>
      <c r="B443" s="27" t="s">
        <v>205</v>
      </c>
      <c r="C443" s="50">
        <v>10560022395</v>
      </c>
      <c r="D443" s="50">
        <v>71905</v>
      </c>
      <c r="E443" s="65">
        <v>44925</v>
      </c>
      <c r="F443" s="57">
        <v>16.8</v>
      </c>
      <c r="G443" s="32" t="s">
        <v>282</v>
      </c>
      <c r="H443" s="21" t="s">
        <v>118</v>
      </c>
      <c r="I443" s="32" t="s">
        <v>475</v>
      </c>
      <c r="J443" s="31" t="str">
        <f t="shared" si="6"/>
        <v>71905 44925</v>
      </c>
    </row>
    <row r="444" spans="1:10" ht="16.5" x14ac:dyDescent="0.3">
      <c r="A444">
        <v>444</v>
      </c>
      <c r="B444" s="27" t="s">
        <v>205</v>
      </c>
      <c r="C444" s="50">
        <v>12444685334</v>
      </c>
      <c r="D444" s="50">
        <v>70263</v>
      </c>
      <c r="E444" s="65">
        <v>44895</v>
      </c>
      <c r="F444" s="57">
        <v>209.15</v>
      </c>
      <c r="G444" s="32" t="s">
        <v>282</v>
      </c>
      <c r="H444" s="21" t="s">
        <v>464</v>
      </c>
      <c r="I444" s="83">
        <v>45960</v>
      </c>
      <c r="J444" s="31" t="str">
        <f t="shared" si="6"/>
        <v>70263 44895</v>
      </c>
    </row>
    <row r="445" spans="1:10" ht="16.5" x14ac:dyDescent="0.3">
      <c r="A445">
        <v>445</v>
      </c>
      <c r="B445" s="27" t="s">
        <v>205</v>
      </c>
      <c r="C445" s="50">
        <v>14625727740</v>
      </c>
      <c r="D445" s="50">
        <v>71276</v>
      </c>
      <c r="E445" s="65">
        <v>45189</v>
      </c>
      <c r="F445" s="57">
        <v>259.17</v>
      </c>
      <c r="G445" s="32" t="s">
        <v>282</v>
      </c>
      <c r="H445" s="21" t="s">
        <v>464</v>
      </c>
      <c r="I445" s="83">
        <v>45960</v>
      </c>
      <c r="J445" s="31" t="str">
        <f t="shared" si="6"/>
        <v>71276 45189</v>
      </c>
    </row>
    <row r="446" spans="1:10" ht="16.5" x14ac:dyDescent="0.3">
      <c r="A446">
        <v>446</v>
      </c>
      <c r="B446" s="27" t="s">
        <v>205</v>
      </c>
      <c r="C446" s="50">
        <v>14925710168</v>
      </c>
      <c r="D446" s="50">
        <v>29790</v>
      </c>
      <c r="E446" s="65">
        <v>44499</v>
      </c>
      <c r="F446" s="57">
        <v>313.10000000000002</v>
      </c>
      <c r="G446" s="32" t="s">
        <v>282</v>
      </c>
      <c r="H446" s="21" t="s">
        <v>118</v>
      </c>
      <c r="I446" s="32" t="s">
        <v>475</v>
      </c>
      <c r="J446" s="31" t="str">
        <f t="shared" si="6"/>
        <v>29790 44499</v>
      </c>
    </row>
    <row r="447" spans="1:10" ht="16.5" x14ac:dyDescent="0.3">
      <c r="A447">
        <v>447</v>
      </c>
      <c r="B447" s="27" t="s">
        <v>205</v>
      </c>
      <c r="C447" s="50">
        <v>25088033320</v>
      </c>
      <c r="D447" s="50">
        <v>55668</v>
      </c>
      <c r="E447" s="65">
        <v>44824</v>
      </c>
      <c r="F447" s="57">
        <v>369.01</v>
      </c>
      <c r="G447" s="32" t="s">
        <v>282</v>
      </c>
      <c r="H447" s="21" t="s">
        <v>464</v>
      </c>
      <c r="I447" s="83">
        <v>45960</v>
      </c>
      <c r="J447" s="31" t="str">
        <f t="shared" si="6"/>
        <v>55668 44824</v>
      </c>
    </row>
    <row r="448" spans="1:10" ht="16.5" x14ac:dyDescent="0.3">
      <c r="A448">
        <v>448</v>
      </c>
      <c r="B448" s="27" t="s">
        <v>205</v>
      </c>
      <c r="C448" s="50">
        <v>25088033320</v>
      </c>
      <c r="D448" s="50">
        <v>55668</v>
      </c>
      <c r="E448" s="65">
        <v>44854</v>
      </c>
      <c r="F448" s="57">
        <v>369.01</v>
      </c>
      <c r="G448" s="32" t="s">
        <v>282</v>
      </c>
      <c r="H448" s="21" t="s">
        <v>464</v>
      </c>
      <c r="I448" s="83">
        <v>45960</v>
      </c>
      <c r="J448" s="31" t="str">
        <f t="shared" si="6"/>
        <v>55668 44854</v>
      </c>
    </row>
    <row r="449" spans="1:10" ht="16.5" x14ac:dyDescent="0.3">
      <c r="A449">
        <v>449</v>
      </c>
      <c r="B449" s="27" t="s">
        <v>205</v>
      </c>
      <c r="C449" s="50">
        <v>25436538304</v>
      </c>
      <c r="D449" s="50">
        <v>71392</v>
      </c>
      <c r="E449" s="65">
        <v>45076</v>
      </c>
      <c r="F449" s="57">
        <v>850.58</v>
      </c>
      <c r="G449" s="32" t="s">
        <v>282</v>
      </c>
      <c r="H449" s="21" t="s">
        <v>464</v>
      </c>
      <c r="I449" s="83">
        <v>45960</v>
      </c>
      <c r="J449" s="31" t="str">
        <f t="shared" si="6"/>
        <v>71392 45076</v>
      </c>
    </row>
    <row r="450" spans="1:10" ht="16.5" x14ac:dyDescent="0.3">
      <c r="A450">
        <v>450</v>
      </c>
      <c r="B450" s="27" t="s">
        <v>205</v>
      </c>
      <c r="C450" s="50">
        <v>25436538304</v>
      </c>
      <c r="D450" s="50">
        <v>71392</v>
      </c>
      <c r="E450" s="65">
        <v>45107</v>
      </c>
      <c r="F450" s="57">
        <v>850.58</v>
      </c>
      <c r="G450" s="32" t="s">
        <v>282</v>
      </c>
      <c r="H450" s="21" t="s">
        <v>464</v>
      </c>
      <c r="I450" s="83">
        <v>45960</v>
      </c>
      <c r="J450" s="31" t="str">
        <f t="shared" ref="J450:J513" si="7">_xlfn.CONCAT(D450," ",E450)</f>
        <v>71392 45107</v>
      </c>
    </row>
    <row r="451" spans="1:10" ht="16.5" x14ac:dyDescent="0.3">
      <c r="A451">
        <v>451</v>
      </c>
      <c r="B451" s="27" t="s">
        <v>205</v>
      </c>
      <c r="C451" s="50">
        <v>25466410349</v>
      </c>
      <c r="D451" s="50">
        <v>30482</v>
      </c>
      <c r="E451" s="65">
        <v>44510</v>
      </c>
      <c r="F451" s="57">
        <v>20.45</v>
      </c>
      <c r="G451" s="32" t="s">
        <v>282</v>
      </c>
      <c r="H451" s="21" t="s">
        <v>464</v>
      </c>
      <c r="I451" s="83">
        <v>45960</v>
      </c>
      <c r="J451" s="31" t="str">
        <f t="shared" si="7"/>
        <v>30482 44510</v>
      </c>
    </row>
    <row r="452" spans="1:10" ht="16.5" x14ac:dyDescent="0.3">
      <c r="A452">
        <v>452</v>
      </c>
      <c r="B452" s="27" t="s">
        <v>205</v>
      </c>
      <c r="C452" s="50">
        <v>25746502391</v>
      </c>
      <c r="D452" s="50">
        <v>67308</v>
      </c>
      <c r="E452" s="65">
        <v>44814</v>
      </c>
      <c r="F452" s="57">
        <v>56.6</v>
      </c>
      <c r="G452" s="32" t="s">
        <v>282</v>
      </c>
      <c r="H452" s="21" t="s">
        <v>118</v>
      </c>
      <c r="I452" s="32" t="s">
        <v>475</v>
      </c>
      <c r="J452" s="31" t="str">
        <f t="shared" si="7"/>
        <v>67308 44814</v>
      </c>
    </row>
    <row r="453" spans="1:10" ht="16.5" x14ac:dyDescent="0.3">
      <c r="A453">
        <v>453</v>
      </c>
      <c r="B453" s="27" t="s">
        <v>205</v>
      </c>
      <c r="C453" s="50">
        <v>26878852315</v>
      </c>
      <c r="D453" s="50">
        <v>42104</v>
      </c>
      <c r="E453" s="65">
        <v>44905</v>
      </c>
      <c r="F453" s="57">
        <v>11.22</v>
      </c>
      <c r="G453" s="32" t="s">
        <v>282</v>
      </c>
      <c r="H453" s="21" t="s">
        <v>464</v>
      </c>
      <c r="I453" s="83">
        <v>45960</v>
      </c>
      <c r="J453" s="31" t="str">
        <f t="shared" si="7"/>
        <v>42104 44905</v>
      </c>
    </row>
    <row r="454" spans="1:10" ht="16.5" x14ac:dyDescent="0.3">
      <c r="A454">
        <v>454</v>
      </c>
      <c r="B454" s="27" t="s">
        <v>205</v>
      </c>
      <c r="C454" s="50">
        <v>26916860359</v>
      </c>
      <c r="D454" s="50">
        <v>67879</v>
      </c>
      <c r="E454" s="65">
        <v>45332</v>
      </c>
      <c r="F454" s="57">
        <v>53.78</v>
      </c>
      <c r="G454" s="32" t="s">
        <v>282</v>
      </c>
      <c r="H454" s="21" t="s">
        <v>118</v>
      </c>
      <c r="I454" s="32" t="s">
        <v>475</v>
      </c>
      <c r="J454" s="31" t="str">
        <f t="shared" si="7"/>
        <v>67879 45332</v>
      </c>
    </row>
    <row r="455" spans="1:10" ht="16.5" x14ac:dyDescent="0.3">
      <c r="A455">
        <v>455</v>
      </c>
      <c r="B455" s="27" t="s">
        <v>205</v>
      </c>
      <c r="C455" s="50">
        <v>26916860359</v>
      </c>
      <c r="D455" s="50">
        <v>67879</v>
      </c>
      <c r="E455" s="65">
        <v>45301</v>
      </c>
      <c r="F455" s="57">
        <v>336.06</v>
      </c>
      <c r="G455" s="32" t="s">
        <v>282</v>
      </c>
      <c r="H455" s="21" t="s">
        <v>118</v>
      </c>
      <c r="I455" s="32" t="s">
        <v>475</v>
      </c>
      <c r="J455" s="31" t="str">
        <f t="shared" si="7"/>
        <v>67879 45301</v>
      </c>
    </row>
    <row r="456" spans="1:10" ht="16.5" x14ac:dyDescent="0.3">
      <c r="A456">
        <v>456</v>
      </c>
      <c r="B456" s="27" t="s">
        <v>205</v>
      </c>
      <c r="C456" s="50">
        <v>26916860359</v>
      </c>
      <c r="D456" s="50">
        <v>67879</v>
      </c>
      <c r="E456" s="65">
        <v>45270</v>
      </c>
      <c r="F456" s="57">
        <v>408.3</v>
      </c>
      <c r="G456" s="32" t="s">
        <v>282</v>
      </c>
      <c r="H456" s="21" t="s">
        <v>118</v>
      </c>
      <c r="I456" s="32" t="s">
        <v>475</v>
      </c>
      <c r="J456" s="31" t="str">
        <f t="shared" si="7"/>
        <v>67879 45270</v>
      </c>
    </row>
    <row r="457" spans="1:10" ht="16.5" x14ac:dyDescent="0.3">
      <c r="A457">
        <v>457</v>
      </c>
      <c r="B457" s="27" t="s">
        <v>205</v>
      </c>
      <c r="C457" s="50">
        <v>27629708149</v>
      </c>
      <c r="D457" s="50">
        <v>67132</v>
      </c>
      <c r="E457" s="65">
        <v>44995</v>
      </c>
      <c r="F457" s="57">
        <v>25.2</v>
      </c>
      <c r="G457" s="32" t="s">
        <v>282</v>
      </c>
      <c r="H457" s="21" t="s">
        <v>464</v>
      </c>
      <c r="I457" s="83">
        <v>45960</v>
      </c>
      <c r="J457" s="31" t="str">
        <f t="shared" si="7"/>
        <v>67132 44995</v>
      </c>
    </row>
    <row r="458" spans="1:10" ht="16.5" x14ac:dyDescent="0.3">
      <c r="A458">
        <v>458</v>
      </c>
      <c r="B458" s="27" t="s">
        <v>205</v>
      </c>
      <c r="C458" s="50">
        <v>27776565334</v>
      </c>
      <c r="D458" s="50">
        <v>69641</v>
      </c>
      <c r="E458" s="65">
        <v>45097</v>
      </c>
      <c r="F458" s="57">
        <v>808.41</v>
      </c>
      <c r="G458" s="32" t="s">
        <v>282</v>
      </c>
      <c r="H458" s="21" t="s">
        <v>464</v>
      </c>
      <c r="I458" s="83">
        <v>45960</v>
      </c>
      <c r="J458" s="31" t="str">
        <f t="shared" si="7"/>
        <v>69641 45097</v>
      </c>
    </row>
    <row r="459" spans="1:10" ht="16.5" x14ac:dyDescent="0.3">
      <c r="A459">
        <v>459</v>
      </c>
      <c r="B459" s="27" t="s">
        <v>205</v>
      </c>
      <c r="C459" s="50">
        <v>28807960320</v>
      </c>
      <c r="D459" s="50">
        <v>70785</v>
      </c>
      <c r="E459" s="65">
        <v>45189</v>
      </c>
      <c r="F459" s="57">
        <v>174.17</v>
      </c>
      <c r="G459" s="32" t="s">
        <v>282</v>
      </c>
      <c r="H459" s="21" t="s">
        <v>464</v>
      </c>
      <c r="I459" s="83">
        <v>45960</v>
      </c>
      <c r="J459" s="31" t="str">
        <f t="shared" si="7"/>
        <v>70785 45189</v>
      </c>
    </row>
    <row r="460" spans="1:10" ht="16.5" x14ac:dyDescent="0.3">
      <c r="A460">
        <v>460</v>
      </c>
      <c r="B460" s="27" t="s">
        <v>205</v>
      </c>
      <c r="C460" s="50">
        <v>29748720349</v>
      </c>
      <c r="D460" s="50">
        <v>34012</v>
      </c>
      <c r="E460" s="65">
        <v>44915</v>
      </c>
      <c r="F460" s="57">
        <v>8.89</v>
      </c>
      <c r="G460" s="32" t="s">
        <v>282</v>
      </c>
      <c r="H460" s="21" t="s">
        <v>464</v>
      </c>
      <c r="I460" s="83">
        <v>45960</v>
      </c>
      <c r="J460" s="31" t="str">
        <f t="shared" si="7"/>
        <v>34012 44915</v>
      </c>
    </row>
    <row r="461" spans="1:10" ht="16.5" x14ac:dyDescent="0.3">
      <c r="A461">
        <v>461</v>
      </c>
      <c r="B461" s="27" t="s">
        <v>205</v>
      </c>
      <c r="C461" s="50">
        <v>29748720349</v>
      </c>
      <c r="D461" s="50">
        <v>34012</v>
      </c>
      <c r="E461" s="65">
        <v>44946</v>
      </c>
      <c r="F461" s="57">
        <v>8.4</v>
      </c>
      <c r="G461" s="32" t="s">
        <v>282</v>
      </c>
      <c r="H461" s="21" t="s">
        <v>464</v>
      </c>
      <c r="I461" s="83">
        <v>45960</v>
      </c>
      <c r="J461" s="31" t="str">
        <f t="shared" si="7"/>
        <v>34012 44946</v>
      </c>
    </row>
    <row r="462" spans="1:10" ht="16.5" x14ac:dyDescent="0.3">
      <c r="A462">
        <v>462</v>
      </c>
      <c r="B462" s="27" t="s">
        <v>205</v>
      </c>
      <c r="C462" s="50">
        <v>32844859372</v>
      </c>
      <c r="D462" s="50">
        <v>65811</v>
      </c>
      <c r="E462" s="65">
        <v>44701</v>
      </c>
      <c r="F462" s="57">
        <v>157.88</v>
      </c>
      <c r="G462" s="32" t="s">
        <v>282</v>
      </c>
      <c r="H462" s="21" t="s">
        <v>464</v>
      </c>
      <c r="I462" s="83">
        <v>45960</v>
      </c>
      <c r="J462" s="31" t="str">
        <f t="shared" si="7"/>
        <v>65811 44701</v>
      </c>
    </row>
    <row r="463" spans="1:10" ht="16.5" x14ac:dyDescent="0.3">
      <c r="A463">
        <v>463</v>
      </c>
      <c r="B463" s="27" t="s">
        <v>205</v>
      </c>
      <c r="C463" s="50">
        <v>32884702253</v>
      </c>
      <c r="D463" s="50">
        <v>27987</v>
      </c>
      <c r="E463" s="65">
        <v>44854</v>
      </c>
      <c r="F463" s="57">
        <v>63.66</v>
      </c>
      <c r="G463" s="32" t="s">
        <v>282</v>
      </c>
      <c r="H463" s="21" t="s">
        <v>464</v>
      </c>
      <c r="I463" s="83">
        <v>45960</v>
      </c>
      <c r="J463" s="31" t="str">
        <f t="shared" si="7"/>
        <v>27987 44854</v>
      </c>
    </row>
    <row r="464" spans="1:10" ht="16.5" x14ac:dyDescent="0.3">
      <c r="A464">
        <v>464</v>
      </c>
      <c r="B464" s="27" t="s">
        <v>205</v>
      </c>
      <c r="C464" s="50">
        <v>32920067320</v>
      </c>
      <c r="D464" s="50">
        <v>72133</v>
      </c>
      <c r="E464" s="65">
        <v>45199</v>
      </c>
      <c r="F464" s="57">
        <v>30.6</v>
      </c>
      <c r="G464" s="32" t="s">
        <v>282</v>
      </c>
      <c r="H464" s="21" t="s">
        <v>464</v>
      </c>
      <c r="I464" s="83">
        <v>45960</v>
      </c>
      <c r="J464" s="31" t="str">
        <f t="shared" si="7"/>
        <v>72133 45199</v>
      </c>
    </row>
    <row r="465" spans="1:10" ht="16.5" x14ac:dyDescent="0.3">
      <c r="A465">
        <v>465</v>
      </c>
      <c r="B465" s="27" t="s">
        <v>205</v>
      </c>
      <c r="C465" s="50">
        <v>32920067320</v>
      </c>
      <c r="D465" s="50">
        <v>72133</v>
      </c>
      <c r="E465" s="65">
        <v>45168</v>
      </c>
      <c r="F465" s="57">
        <v>82.03</v>
      </c>
      <c r="G465" s="32" t="s">
        <v>282</v>
      </c>
      <c r="H465" s="21" t="s">
        <v>464</v>
      </c>
      <c r="I465" s="83">
        <v>45960</v>
      </c>
      <c r="J465" s="31" t="str">
        <f t="shared" si="7"/>
        <v>72133 45168</v>
      </c>
    </row>
    <row r="466" spans="1:10" ht="16.5" x14ac:dyDescent="0.3">
      <c r="A466">
        <v>466</v>
      </c>
      <c r="B466" s="27" t="s">
        <v>205</v>
      </c>
      <c r="C466" s="50">
        <v>34333983304</v>
      </c>
      <c r="D466" s="50">
        <v>65395</v>
      </c>
      <c r="E466" s="65">
        <v>44165</v>
      </c>
      <c r="F466" s="57">
        <v>63.59</v>
      </c>
      <c r="G466" s="32" t="s">
        <v>282</v>
      </c>
      <c r="H466" s="21" t="s">
        <v>464</v>
      </c>
      <c r="I466" s="83">
        <v>45960</v>
      </c>
      <c r="J466" s="31" t="str">
        <f t="shared" si="7"/>
        <v>65395 44165</v>
      </c>
    </row>
    <row r="467" spans="1:10" ht="16.5" x14ac:dyDescent="0.3">
      <c r="A467">
        <v>467</v>
      </c>
      <c r="B467" s="27" t="s">
        <v>205</v>
      </c>
      <c r="C467" s="50">
        <v>34450076320</v>
      </c>
      <c r="D467" s="50">
        <v>29821</v>
      </c>
      <c r="E467" s="65">
        <v>45137</v>
      </c>
      <c r="F467" s="57">
        <v>281.43</v>
      </c>
      <c r="G467" s="32" t="s">
        <v>282</v>
      </c>
      <c r="H467" s="21" t="s">
        <v>464</v>
      </c>
      <c r="I467" s="83">
        <v>45960</v>
      </c>
      <c r="J467" s="31" t="str">
        <f t="shared" si="7"/>
        <v>29821 45137</v>
      </c>
    </row>
    <row r="468" spans="1:10" ht="16.5" x14ac:dyDescent="0.3">
      <c r="A468">
        <v>468</v>
      </c>
      <c r="B468" s="27" t="s">
        <v>205</v>
      </c>
      <c r="C468" s="50">
        <v>34450076320</v>
      </c>
      <c r="D468" s="50">
        <v>29779</v>
      </c>
      <c r="E468" s="65">
        <v>45137</v>
      </c>
      <c r="F468" s="57">
        <v>227.07</v>
      </c>
      <c r="G468" s="32" t="s">
        <v>282</v>
      </c>
      <c r="H468" s="21" t="s">
        <v>464</v>
      </c>
      <c r="I468" s="83">
        <v>45960</v>
      </c>
      <c r="J468" s="31" t="str">
        <f t="shared" si="7"/>
        <v>29779 45137</v>
      </c>
    </row>
    <row r="469" spans="1:10" ht="16.5" x14ac:dyDescent="0.3">
      <c r="A469">
        <v>469</v>
      </c>
      <c r="B469" s="27" t="s">
        <v>205</v>
      </c>
      <c r="C469" s="50">
        <v>34488650368</v>
      </c>
      <c r="D469" s="50">
        <v>71381</v>
      </c>
      <c r="E469" s="65">
        <v>45381</v>
      </c>
      <c r="F469" s="57">
        <v>246.65</v>
      </c>
      <c r="G469" s="32" t="s">
        <v>282</v>
      </c>
      <c r="H469" s="21" t="s">
        <v>464</v>
      </c>
      <c r="I469" s="83">
        <v>45960</v>
      </c>
      <c r="J469" s="31" t="str">
        <f t="shared" si="7"/>
        <v>71381 45381</v>
      </c>
    </row>
    <row r="470" spans="1:10" ht="16.5" x14ac:dyDescent="0.3">
      <c r="A470">
        <v>470</v>
      </c>
      <c r="B470" s="27" t="s">
        <v>205</v>
      </c>
      <c r="C470" s="50">
        <v>34488650368</v>
      </c>
      <c r="D470" s="50">
        <v>71381</v>
      </c>
      <c r="E470" s="65">
        <v>45351</v>
      </c>
      <c r="F470" s="57">
        <v>228.8</v>
      </c>
      <c r="G470" s="32" t="s">
        <v>282</v>
      </c>
      <c r="H470" s="21" t="s">
        <v>464</v>
      </c>
      <c r="I470" s="83">
        <v>45960</v>
      </c>
      <c r="J470" s="31" t="str">
        <f t="shared" si="7"/>
        <v>71381 45351</v>
      </c>
    </row>
    <row r="471" spans="1:10" ht="16.5" x14ac:dyDescent="0.3">
      <c r="A471">
        <v>471</v>
      </c>
      <c r="B471" s="27" t="s">
        <v>205</v>
      </c>
      <c r="C471" s="50">
        <v>34554408353</v>
      </c>
      <c r="D471" s="50">
        <v>56809</v>
      </c>
      <c r="E471" s="65">
        <v>44967</v>
      </c>
      <c r="F471" s="57">
        <v>62.7</v>
      </c>
      <c r="G471" s="32" t="s">
        <v>282</v>
      </c>
      <c r="H471" s="21" t="s">
        <v>464</v>
      </c>
      <c r="I471" s="83">
        <v>45960</v>
      </c>
      <c r="J471" s="31" t="str">
        <f t="shared" si="7"/>
        <v>56809 44967</v>
      </c>
    </row>
    <row r="472" spans="1:10" ht="16.5" x14ac:dyDescent="0.3">
      <c r="A472">
        <v>472</v>
      </c>
      <c r="B472" s="27" t="s">
        <v>205</v>
      </c>
      <c r="C472" s="50">
        <v>36380253300</v>
      </c>
      <c r="D472" s="50">
        <v>27582</v>
      </c>
      <c r="E472" s="65">
        <v>45056</v>
      </c>
      <c r="F472" s="57">
        <v>7.3</v>
      </c>
      <c r="G472" s="32" t="s">
        <v>282</v>
      </c>
      <c r="H472" s="21" t="s">
        <v>464</v>
      </c>
      <c r="I472" s="83">
        <v>45960</v>
      </c>
      <c r="J472" s="31" t="str">
        <f t="shared" si="7"/>
        <v>27582 45056</v>
      </c>
    </row>
    <row r="473" spans="1:10" ht="16.5" x14ac:dyDescent="0.3">
      <c r="A473">
        <v>473</v>
      </c>
      <c r="B473" s="27" t="s">
        <v>205</v>
      </c>
      <c r="C473" s="50">
        <v>36380253300</v>
      </c>
      <c r="D473" s="50">
        <v>27582</v>
      </c>
      <c r="E473" s="65">
        <v>45026</v>
      </c>
      <c r="F473" s="57">
        <v>9.08</v>
      </c>
      <c r="G473" s="32" t="s">
        <v>282</v>
      </c>
      <c r="H473" s="21" t="s">
        <v>464</v>
      </c>
      <c r="I473" s="83">
        <v>45960</v>
      </c>
      <c r="J473" s="31" t="str">
        <f t="shared" si="7"/>
        <v>27582 45026</v>
      </c>
    </row>
    <row r="474" spans="1:10" ht="16.5" x14ac:dyDescent="0.3">
      <c r="A474">
        <v>474</v>
      </c>
      <c r="B474" s="27" t="s">
        <v>205</v>
      </c>
      <c r="C474" s="50">
        <v>37820540249</v>
      </c>
      <c r="D474" s="50">
        <v>42954</v>
      </c>
      <c r="E474" s="65">
        <v>45194</v>
      </c>
      <c r="F474" s="57">
        <v>7.65</v>
      </c>
      <c r="G474" s="32" t="s">
        <v>282</v>
      </c>
      <c r="H474" s="21" t="s">
        <v>464</v>
      </c>
      <c r="I474" s="83">
        <v>45960</v>
      </c>
      <c r="J474" s="31" t="str">
        <f t="shared" si="7"/>
        <v>42954 45194</v>
      </c>
    </row>
    <row r="475" spans="1:10" ht="16.5" x14ac:dyDescent="0.3">
      <c r="A475">
        <v>475</v>
      </c>
      <c r="B475" s="27" t="s">
        <v>205</v>
      </c>
      <c r="C475" s="50">
        <v>37820540249</v>
      </c>
      <c r="D475" s="50">
        <v>42954</v>
      </c>
      <c r="E475" s="65">
        <v>45163</v>
      </c>
      <c r="F475" s="57">
        <v>31.77</v>
      </c>
      <c r="G475" s="32" t="s">
        <v>282</v>
      </c>
      <c r="H475" s="21" t="s">
        <v>464</v>
      </c>
      <c r="I475" s="83">
        <v>45960</v>
      </c>
      <c r="J475" s="31" t="str">
        <f t="shared" si="7"/>
        <v>42954 45163</v>
      </c>
    </row>
    <row r="476" spans="1:10" ht="16.5" x14ac:dyDescent="0.3">
      <c r="A476">
        <v>476</v>
      </c>
      <c r="B476" s="27" t="s">
        <v>205</v>
      </c>
      <c r="C476" s="50">
        <v>37820540249</v>
      </c>
      <c r="D476" s="50">
        <v>42954</v>
      </c>
      <c r="E476" s="65">
        <v>45132</v>
      </c>
      <c r="F476" s="57">
        <v>25.58</v>
      </c>
      <c r="G476" s="32" t="s">
        <v>282</v>
      </c>
      <c r="H476" s="21" t="s">
        <v>464</v>
      </c>
      <c r="I476" s="83">
        <v>45960</v>
      </c>
      <c r="J476" s="31" t="str">
        <f t="shared" si="7"/>
        <v>42954 45132</v>
      </c>
    </row>
    <row r="477" spans="1:10" ht="16.5" x14ac:dyDescent="0.3">
      <c r="A477">
        <v>477</v>
      </c>
      <c r="B477" s="27" t="s">
        <v>205</v>
      </c>
      <c r="C477" s="50">
        <v>37820540249</v>
      </c>
      <c r="D477" s="50">
        <v>42954</v>
      </c>
      <c r="E477" s="65">
        <v>45102</v>
      </c>
      <c r="F477" s="57">
        <v>65.47</v>
      </c>
      <c r="G477" s="32" t="s">
        <v>282</v>
      </c>
      <c r="H477" s="21" t="s">
        <v>464</v>
      </c>
      <c r="I477" s="83">
        <v>45960</v>
      </c>
      <c r="J477" s="31" t="str">
        <f t="shared" si="7"/>
        <v>42954 45102</v>
      </c>
    </row>
    <row r="478" spans="1:10" ht="16.5" x14ac:dyDescent="0.3">
      <c r="A478">
        <v>478</v>
      </c>
      <c r="B478" s="27" t="s">
        <v>205</v>
      </c>
      <c r="C478" s="50">
        <v>38609223515</v>
      </c>
      <c r="D478" s="50">
        <v>25625</v>
      </c>
      <c r="E478" s="65">
        <v>45332</v>
      </c>
      <c r="F478" s="57">
        <v>264.58999999999997</v>
      </c>
      <c r="G478" s="32" t="s">
        <v>282</v>
      </c>
      <c r="H478" s="21" t="s">
        <v>118</v>
      </c>
      <c r="I478" s="32" t="s">
        <v>475</v>
      </c>
      <c r="J478" s="31" t="str">
        <f t="shared" si="7"/>
        <v>25625 45332</v>
      </c>
    </row>
    <row r="479" spans="1:10" ht="16.5" x14ac:dyDescent="0.3">
      <c r="A479">
        <v>479</v>
      </c>
      <c r="B479" s="27" t="s">
        <v>205</v>
      </c>
      <c r="C479" s="50">
        <v>38609223515</v>
      </c>
      <c r="D479" s="50">
        <v>25625</v>
      </c>
      <c r="E479" s="65">
        <v>45301</v>
      </c>
      <c r="F479" s="57">
        <v>264.58999999999997</v>
      </c>
      <c r="G479" s="32" t="s">
        <v>282</v>
      </c>
      <c r="H479" s="21" t="s">
        <v>118</v>
      </c>
      <c r="I479" s="32" t="s">
        <v>475</v>
      </c>
      <c r="J479" s="31" t="str">
        <f t="shared" si="7"/>
        <v>25625 45301</v>
      </c>
    </row>
    <row r="480" spans="1:10" ht="16.5" x14ac:dyDescent="0.3">
      <c r="A480">
        <v>480</v>
      </c>
      <c r="B480" s="27" t="s">
        <v>205</v>
      </c>
      <c r="C480" s="50">
        <v>40196950325</v>
      </c>
      <c r="D480" s="50">
        <v>43916</v>
      </c>
      <c r="E480" s="65">
        <v>45402</v>
      </c>
      <c r="F480" s="57">
        <v>35.200000000000003</v>
      </c>
      <c r="G480" s="32" t="s">
        <v>282</v>
      </c>
      <c r="H480" s="21" t="s">
        <v>118</v>
      </c>
      <c r="I480" s="32" t="s">
        <v>475</v>
      </c>
      <c r="J480" s="31" t="str">
        <f t="shared" si="7"/>
        <v>43916 45402</v>
      </c>
    </row>
    <row r="481" spans="1:10" ht="16.5" x14ac:dyDescent="0.3">
      <c r="A481">
        <v>481</v>
      </c>
      <c r="B481" s="27" t="s">
        <v>205</v>
      </c>
      <c r="C481" s="50">
        <v>41836766149</v>
      </c>
      <c r="D481" s="50">
        <v>55428</v>
      </c>
      <c r="E481" s="65">
        <v>45301</v>
      </c>
      <c r="F481" s="57">
        <v>250.79</v>
      </c>
      <c r="G481" s="32" t="s">
        <v>282</v>
      </c>
      <c r="H481" s="21" t="s">
        <v>464</v>
      </c>
      <c r="I481" s="83">
        <v>45960</v>
      </c>
      <c r="J481" s="31" t="str">
        <f t="shared" si="7"/>
        <v>55428 45301</v>
      </c>
    </row>
    <row r="482" spans="1:10" ht="16.5" x14ac:dyDescent="0.3">
      <c r="A482">
        <v>482</v>
      </c>
      <c r="B482" s="27" t="s">
        <v>205</v>
      </c>
      <c r="C482" s="50">
        <v>42324165449</v>
      </c>
      <c r="D482" s="50">
        <v>70543</v>
      </c>
      <c r="E482" s="65">
        <v>45280</v>
      </c>
      <c r="F482" s="57">
        <v>368.37</v>
      </c>
      <c r="G482" s="32" t="s">
        <v>282</v>
      </c>
      <c r="H482" s="21" t="s">
        <v>464</v>
      </c>
      <c r="I482" s="83">
        <v>45960</v>
      </c>
      <c r="J482" s="31" t="str">
        <f t="shared" si="7"/>
        <v>70543 45280</v>
      </c>
    </row>
    <row r="483" spans="1:10" ht="16.5" x14ac:dyDescent="0.3">
      <c r="A483">
        <v>483</v>
      </c>
      <c r="B483" s="27" t="s">
        <v>205</v>
      </c>
      <c r="C483" s="50">
        <v>43625576368</v>
      </c>
      <c r="D483" s="50">
        <v>50747</v>
      </c>
      <c r="E483" s="65">
        <v>44814</v>
      </c>
      <c r="F483" s="57">
        <v>39.36</v>
      </c>
      <c r="G483" s="32" t="s">
        <v>282</v>
      </c>
      <c r="H483" s="21" t="s">
        <v>464</v>
      </c>
      <c r="I483" s="83">
        <v>45960</v>
      </c>
      <c r="J483" s="31" t="str">
        <f t="shared" si="7"/>
        <v>50747 44814</v>
      </c>
    </row>
    <row r="484" spans="1:10" ht="16.5" x14ac:dyDescent="0.3">
      <c r="A484">
        <v>484</v>
      </c>
      <c r="B484" s="27" t="s">
        <v>205</v>
      </c>
      <c r="C484" s="50">
        <v>45710902500</v>
      </c>
      <c r="D484" s="50">
        <v>52805</v>
      </c>
      <c r="E484" s="65">
        <v>45168</v>
      </c>
      <c r="F484" s="57">
        <v>1265.7</v>
      </c>
      <c r="G484" s="32" t="s">
        <v>282</v>
      </c>
      <c r="H484" s="21" t="s">
        <v>464</v>
      </c>
      <c r="I484" s="83">
        <v>45960</v>
      </c>
      <c r="J484" s="31" t="str">
        <f t="shared" si="7"/>
        <v>52805 45168</v>
      </c>
    </row>
    <row r="485" spans="1:10" ht="16.5" x14ac:dyDescent="0.3">
      <c r="A485">
        <v>485</v>
      </c>
      <c r="B485" s="27" t="s">
        <v>205</v>
      </c>
      <c r="C485" s="50">
        <v>46696261320</v>
      </c>
      <c r="D485" s="50">
        <v>68915</v>
      </c>
      <c r="E485" s="65">
        <v>45189</v>
      </c>
      <c r="F485" s="57">
        <v>36</v>
      </c>
      <c r="G485" s="32" t="s">
        <v>282</v>
      </c>
      <c r="H485" s="21" t="s">
        <v>464</v>
      </c>
      <c r="I485" s="83">
        <v>45960</v>
      </c>
      <c r="J485" s="31" t="str">
        <f t="shared" si="7"/>
        <v>68915 45189</v>
      </c>
    </row>
    <row r="486" spans="1:10" ht="16.5" x14ac:dyDescent="0.3">
      <c r="A486">
        <v>486</v>
      </c>
      <c r="B486" s="27" t="s">
        <v>205</v>
      </c>
      <c r="C486" s="50">
        <v>46696261320</v>
      </c>
      <c r="D486" s="50">
        <v>68915</v>
      </c>
      <c r="E486" s="65">
        <v>45127</v>
      </c>
      <c r="F486" s="57">
        <v>36</v>
      </c>
      <c r="G486" s="32" t="s">
        <v>282</v>
      </c>
      <c r="H486" s="21" t="s">
        <v>464</v>
      </c>
      <c r="I486" s="83">
        <v>45960</v>
      </c>
      <c r="J486" s="31" t="str">
        <f t="shared" si="7"/>
        <v>68915 45127</v>
      </c>
    </row>
    <row r="487" spans="1:10" ht="16.5" x14ac:dyDescent="0.3">
      <c r="A487">
        <v>487</v>
      </c>
      <c r="B487" s="27" t="s">
        <v>205</v>
      </c>
      <c r="C487" s="50">
        <v>46696261320</v>
      </c>
      <c r="D487" s="50">
        <v>71947</v>
      </c>
      <c r="E487" s="65">
        <v>45076</v>
      </c>
      <c r="F487" s="57">
        <v>251.83</v>
      </c>
      <c r="G487" s="32" t="s">
        <v>282</v>
      </c>
      <c r="H487" s="21" t="s">
        <v>464</v>
      </c>
      <c r="I487" s="83">
        <v>45960</v>
      </c>
      <c r="J487" s="31" t="str">
        <f t="shared" si="7"/>
        <v>71947 45076</v>
      </c>
    </row>
    <row r="488" spans="1:10" ht="16.5" x14ac:dyDescent="0.3">
      <c r="A488">
        <v>488</v>
      </c>
      <c r="B488" s="27" t="s">
        <v>205</v>
      </c>
      <c r="C488" s="50">
        <v>46696261320</v>
      </c>
      <c r="D488" s="50">
        <v>68915</v>
      </c>
      <c r="E488" s="65">
        <v>45066</v>
      </c>
      <c r="F488" s="57">
        <v>182.81</v>
      </c>
      <c r="G488" s="32" t="s">
        <v>282</v>
      </c>
      <c r="H488" s="21" t="s">
        <v>464</v>
      </c>
      <c r="I488" s="83">
        <v>45960</v>
      </c>
      <c r="J488" s="31" t="str">
        <f t="shared" si="7"/>
        <v>68915 45066</v>
      </c>
    </row>
    <row r="489" spans="1:10" ht="16.5" x14ac:dyDescent="0.3">
      <c r="A489">
        <v>489</v>
      </c>
      <c r="B489" s="27" t="s">
        <v>205</v>
      </c>
      <c r="C489" s="50">
        <v>46696261320</v>
      </c>
      <c r="D489" s="50">
        <v>68915</v>
      </c>
      <c r="E489" s="65">
        <v>45036</v>
      </c>
      <c r="F489" s="57">
        <v>218.81</v>
      </c>
      <c r="G489" s="32" t="s">
        <v>282</v>
      </c>
      <c r="H489" s="21" t="s">
        <v>464</v>
      </c>
      <c r="I489" s="83">
        <v>45960</v>
      </c>
      <c r="J489" s="31" t="str">
        <f t="shared" si="7"/>
        <v>68915 45036</v>
      </c>
    </row>
    <row r="490" spans="1:10" ht="16.5" x14ac:dyDescent="0.3">
      <c r="A490">
        <v>490</v>
      </c>
      <c r="B490" s="27" t="s">
        <v>205</v>
      </c>
      <c r="C490" s="50">
        <v>46697365315</v>
      </c>
      <c r="D490" s="50">
        <v>44923</v>
      </c>
      <c r="E490" s="65">
        <v>45179</v>
      </c>
      <c r="F490" s="57">
        <v>18.579999999999998</v>
      </c>
      <c r="G490" s="32" t="s">
        <v>282</v>
      </c>
      <c r="H490" s="21" t="s">
        <v>464</v>
      </c>
      <c r="I490" s="83">
        <v>45960</v>
      </c>
      <c r="J490" s="31" t="str">
        <f t="shared" si="7"/>
        <v>44923 45179</v>
      </c>
    </row>
    <row r="491" spans="1:10" ht="16.5" x14ac:dyDescent="0.3">
      <c r="A491">
        <v>491</v>
      </c>
      <c r="B491" s="27" t="s">
        <v>205</v>
      </c>
      <c r="C491" s="50">
        <v>46697365315</v>
      </c>
      <c r="D491" s="50">
        <v>44923</v>
      </c>
      <c r="E491" s="65">
        <v>45148</v>
      </c>
      <c r="F491" s="57">
        <v>19.170000000000002</v>
      </c>
      <c r="G491" s="32" t="s">
        <v>282</v>
      </c>
      <c r="H491" s="21" t="s">
        <v>464</v>
      </c>
      <c r="I491" s="83">
        <v>45960</v>
      </c>
      <c r="J491" s="31" t="str">
        <f t="shared" si="7"/>
        <v>44923 45148</v>
      </c>
    </row>
    <row r="492" spans="1:10" ht="16.5" x14ac:dyDescent="0.3">
      <c r="A492">
        <v>492</v>
      </c>
      <c r="B492" s="27" t="s">
        <v>205</v>
      </c>
      <c r="C492" s="50">
        <v>46708286300</v>
      </c>
      <c r="D492" s="50">
        <v>34021</v>
      </c>
      <c r="E492" s="65">
        <v>45270</v>
      </c>
      <c r="F492" s="57">
        <v>301.37</v>
      </c>
      <c r="G492" s="32" t="s">
        <v>282</v>
      </c>
      <c r="H492" s="21" t="s">
        <v>464</v>
      </c>
      <c r="I492" s="83">
        <v>45960</v>
      </c>
      <c r="J492" s="31" t="str">
        <f t="shared" si="7"/>
        <v>34021 45270</v>
      </c>
    </row>
    <row r="493" spans="1:10" ht="16.5" x14ac:dyDescent="0.3">
      <c r="A493">
        <v>493</v>
      </c>
      <c r="B493" s="27" t="s">
        <v>205</v>
      </c>
      <c r="C493" s="50">
        <v>46708286300</v>
      </c>
      <c r="D493" s="50">
        <v>34021</v>
      </c>
      <c r="E493" s="65">
        <v>45240</v>
      </c>
      <c r="F493" s="57">
        <v>301.37</v>
      </c>
      <c r="G493" s="32" t="s">
        <v>282</v>
      </c>
      <c r="H493" s="21" t="s">
        <v>464</v>
      </c>
      <c r="I493" s="83">
        <v>45960</v>
      </c>
      <c r="J493" s="31" t="str">
        <f t="shared" si="7"/>
        <v>34021 45240</v>
      </c>
    </row>
    <row r="494" spans="1:10" ht="16.5" x14ac:dyDescent="0.3">
      <c r="A494">
        <v>494</v>
      </c>
      <c r="B494" s="27" t="s">
        <v>205</v>
      </c>
      <c r="C494" s="50">
        <v>47690836372</v>
      </c>
      <c r="D494" s="50">
        <v>29677</v>
      </c>
      <c r="E494" s="65">
        <v>44145</v>
      </c>
      <c r="F494" s="57">
        <v>81.96</v>
      </c>
      <c r="G494" s="32" t="s">
        <v>282</v>
      </c>
      <c r="H494" s="21" t="s">
        <v>118</v>
      </c>
      <c r="I494" s="32" t="s">
        <v>475</v>
      </c>
      <c r="J494" s="31" t="str">
        <f t="shared" si="7"/>
        <v>29677 44145</v>
      </c>
    </row>
    <row r="495" spans="1:10" ht="16.5" x14ac:dyDescent="0.3">
      <c r="A495">
        <v>495</v>
      </c>
      <c r="B495" s="27" t="s">
        <v>205</v>
      </c>
      <c r="C495" s="50">
        <v>48715867315</v>
      </c>
      <c r="D495" s="50">
        <v>68373</v>
      </c>
      <c r="E495" s="65">
        <v>45189</v>
      </c>
      <c r="F495" s="57">
        <v>17.850000000000001</v>
      </c>
      <c r="G495" s="32" t="s">
        <v>282</v>
      </c>
      <c r="H495" s="21" t="s">
        <v>118</v>
      </c>
      <c r="I495" s="32" t="s">
        <v>475</v>
      </c>
      <c r="J495" s="31" t="str">
        <f t="shared" si="7"/>
        <v>68373 45189</v>
      </c>
    </row>
    <row r="496" spans="1:10" ht="16.5" x14ac:dyDescent="0.3">
      <c r="A496">
        <v>496</v>
      </c>
      <c r="B496" s="27" t="s">
        <v>205</v>
      </c>
      <c r="C496" s="50">
        <v>48722820353</v>
      </c>
      <c r="D496" s="50">
        <v>25354</v>
      </c>
      <c r="E496" s="65">
        <v>44571</v>
      </c>
      <c r="F496" s="57">
        <v>215.93</v>
      </c>
      <c r="G496" s="32" t="s">
        <v>282</v>
      </c>
      <c r="H496" s="21" t="s">
        <v>464</v>
      </c>
      <c r="I496" s="83">
        <v>45960</v>
      </c>
      <c r="J496" s="31" t="str">
        <f t="shared" si="7"/>
        <v>25354 44571</v>
      </c>
    </row>
    <row r="497" spans="1:10" ht="16.5" x14ac:dyDescent="0.3">
      <c r="A497">
        <v>497</v>
      </c>
      <c r="B497" s="27" t="s">
        <v>205</v>
      </c>
      <c r="C497" s="50">
        <v>48724556300</v>
      </c>
      <c r="D497" s="50">
        <v>31734</v>
      </c>
      <c r="E497" s="65">
        <v>44875</v>
      </c>
      <c r="F497" s="57">
        <v>298.2</v>
      </c>
      <c r="G497" s="32" t="s">
        <v>282</v>
      </c>
      <c r="H497" s="21" t="s">
        <v>464</v>
      </c>
      <c r="I497" s="83">
        <v>45960</v>
      </c>
      <c r="J497" s="31" t="str">
        <f t="shared" si="7"/>
        <v>31734 44875</v>
      </c>
    </row>
    <row r="498" spans="1:10" ht="16.5" x14ac:dyDescent="0.3">
      <c r="A498">
        <v>498</v>
      </c>
      <c r="B498" s="27" t="s">
        <v>205</v>
      </c>
      <c r="C498" s="50">
        <v>48724556300</v>
      </c>
      <c r="D498" s="50">
        <v>31734</v>
      </c>
      <c r="E498" s="65">
        <v>44905</v>
      </c>
      <c r="F498" s="57">
        <v>736.91</v>
      </c>
      <c r="G498" s="32" t="s">
        <v>282</v>
      </c>
      <c r="H498" s="21" t="s">
        <v>464</v>
      </c>
      <c r="I498" s="83">
        <v>45960</v>
      </c>
      <c r="J498" s="31" t="str">
        <f t="shared" si="7"/>
        <v>31734 44905</v>
      </c>
    </row>
    <row r="499" spans="1:10" ht="16.5" x14ac:dyDescent="0.3">
      <c r="A499">
        <v>499</v>
      </c>
      <c r="B499" s="27" t="s">
        <v>205</v>
      </c>
      <c r="C499" s="50">
        <v>48752380378</v>
      </c>
      <c r="D499" s="50">
        <v>34291</v>
      </c>
      <c r="E499" s="65">
        <v>45000</v>
      </c>
      <c r="F499" s="57">
        <v>9.08</v>
      </c>
      <c r="G499" s="32" t="s">
        <v>282</v>
      </c>
      <c r="H499" s="21" t="s">
        <v>464</v>
      </c>
      <c r="I499" s="83">
        <v>45960</v>
      </c>
      <c r="J499" s="31" t="str">
        <f t="shared" si="7"/>
        <v>34291 45000</v>
      </c>
    </row>
    <row r="500" spans="1:10" ht="16.5" x14ac:dyDescent="0.3">
      <c r="A500">
        <v>500</v>
      </c>
      <c r="B500" s="27" t="s">
        <v>205</v>
      </c>
      <c r="C500" s="50">
        <v>48786500368</v>
      </c>
      <c r="D500" s="50">
        <v>49965</v>
      </c>
      <c r="E500" s="65">
        <v>45402</v>
      </c>
      <c r="F500" s="57">
        <v>162.16</v>
      </c>
      <c r="G500" s="32" t="s">
        <v>282</v>
      </c>
      <c r="H500" s="21" t="s">
        <v>464</v>
      </c>
      <c r="I500" s="83">
        <v>45960</v>
      </c>
      <c r="J500" s="31" t="str">
        <f t="shared" si="7"/>
        <v>49965 45402</v>
      </c>
    </row>
    <row r="501" spans="1:10" ht="16.5" x14ac:dyDescent="0.3">
      <c r="A501">
        <v>501</v>
      </c>
      <c r="B501" s="27" t="s">
        <v>205</v>
      </c>
      <c r="C501" s="50">
        <v>48786500368</v>
      </c>
      <c r="D501" s="50">
        <v>49965</v>
      </c>
      <c r="E501" s="65">
        <v>45371</v>
      </c>
      <c r="F501" s="57">
        <v>144.1</v>
      </c>
      <c r="G501" s="32" t="s">
        <v>282</v>
      </c>
      <c r="H501" s="21" t="s">
        <v>464</v>
      </c>
      <c r="I501" s="83">
        <v>45960</v>
      </c>
      <c r="J501" s="31" t="str">
        <f t="shared" si="7"/>
        <v>49965 45371</v>
      </c>
    </row>
    <row r="502" spans="1:10" ht="16.5" x14ac:dyDescent="0.3">
      <c r="A502">
        <v>502</v>
      </c>
      <c r="B502" s="27" t="s">
        <v>205</v>
      </c>
      <c r="C502" s="50">
        <v>48945986391</v>
      </c>
      <c r="D502" s="50">
        <v>27361</v>
      </c>
      <c r="E502" s="65">
        <v>45158</v>
      </c>
      <c r="F502" s="57">
        <v>334.96</v>
      </c>
      <c r="G502" s="32" t="s">
        <v>282</v>
      </c>
      <c r="H502" s="21" t="s">
        <v>464</v>
      </c>
      <c r="I502" s="83">
        <v>45960</v>
      </c>
      <c r="J502" s="31" t="str">
        <f t="shared" si="7"/>
        <v>27361 45158</v>
      </c>
    </row>
    <row r="503" spans="1:10" ht="16.5" x14ac:dyDescent="0.3">
      <c r="A503">
        <v>503</v>
      </c>
      <c r="B503" s="27" t="s">
        <v>205</v>
      </c>
      <c r="C503" s="50">
        <v>51539640191</v>
      </c>
      <c r="D503" s="50">
        <v>71861</v>
      </c>
      <c r="E503" s="65">
        <v>44977</v>
      </c>
      <c r="F503" s="57">
        <v>869.36</v>
      </c>
      <c r="G503" s="32" t="s">
        <v>282</v>
      </c>
      <c r="H503" s="21" t="s">
        <v>464</v>
      </c>
      <c r="I503" s="83">
        <v>45960</v>
      </c>
      <c r="J503" s="31" t="str">
        <f t="shared" si="7"/>
        <v>71861 44977</v>
      </c>
    </row>
    <row r="504" spans="1:10" ht="16.5" x14ac:dyDescent="0.3">
      <c r="A504">
        <v>504</v>
      </c>
      <c r="B504" s="27" t="s">
        <v>205</v>
      </c>
      <c r="C504" s="50">
        <v>51539640191</v>
      </c>
      <c r="D504" s="50">
        <v>71861</v>
      </c>
      <c r="E504" s="65">
        <v>44946</v>
      </c>
      <c r="F504" s="57">
        <v>869.36</v>
      </c>
      <c r="G504" s="32" t="s">
        <v>282</v>
      </c>
      <c r="H504" s="21" t="s">
        <v>464</v>
      </c>
      <c r="I504" s="83">
        <v>45960</v>
      </c>
      <c r="J504" s="31" t="str">
        <f t="shared" si="7"/>
        <v>71861 44946</v>
      </c>
    </row>
    <row r="505" spans="1:10" ht="16.5" x14ac:dyDescent="0.3">
      <c r="A505">
        <v>505</v>
      </c>
      <c r="B505" s="27" t="s">
        <v>205</v>
      </c>
      <c r="C505" s="50">
        <v>52374548368</v>
      </c>
      <c r="D505" s="50">
        <v>57547</v>
      </c>
      <c r="E505" s="65">
        <v>45036</v>
      </c>
      <c r="F505" s="57">
        <v>1330.22</v>
      </c>
      <c r="G505" s="32" t="s">
        <v>282</v>
      </c>
      <c r="H505" s="21" t="s">
        <v>464</v>
      </c>
      <c r="I505" s="83">
        <v>45960</v>
      </c>
      <c r="J505" s="31" t="str">
        <f t="shared" si="7"/>
        <v>57547 45036</v>
      </c>
    </row>
    <row r="506" spans="1:10" ht="16.5" x14ac:dyDescent="0.3">
      <c r="A506">
        <v>506</v>
      </c>
      <c r="B506" s="27" t="s">
        <v>205</v>
      </c>
      <c r="C506" s="50">
        <v>55394540225</v>
      </c>
      <c r="D506" s="50">
        <v>69451</v>
      </c>
      <c r="E506" s="65">
        <v>45371</v>
      </c>
      <c r="F506" s="57">
        <v>17.850000000000001</v>
      </c>
      <c r="G506" s="32" t="s">
        <v>282</v>
      </c>
      <c r="H506" s="21" t="s">
        <v>464</v>
      </c>
      <c r="I506" s="83">
        <v>45960</v>
      </c>
      <c r="J506" s="31" t="str">
        <f t="shared" si="7"/>
        <v>69451 45371</v>
      </c>
    </row>
    <row r="507" spans="1:10" ht="16.5" x14ac:dyDescent="0.3">
      <c r="A507">
        <v>507</v>
      </c>
      <c r="B507" s="27" t="s">
        <v>205</v>
      </c>
      <c r="C507" s="50">
        <v>55394540225</v>
      </c>
      <c r="D507" s="50">
        <v>69451</v>
      </c>
      <c r="E507" s="65">
        <v>45342</v>
      </c>
      <c r="F507" s="57">
        <v>93.72</v>
      </c>
      <c r="G507" s="32" t="s">
        <v>282</v>
      </c>
      <c r="H507" s="21" t="s">
        <v>464</v>
      </c>
      <c r="I507" s="83">
        <v>45960</v>
      </c>
      <c r="J507" s="31" t="str">
        <f t="shared" si="7"/>
        <v>69451 45342</v>
      </c>
    </row>
    <row r="508" spans="1:10" ht="16.5" x14ac:dyDescent="0.3">
      <c r="A508">
        <v>508</v>
      </c>
      <c r="B508" s="27" t="s">
        <v>205</v>
      </c>
      <c r="C508" s="50">
        <v>58672370104</v>
      </c>
      <c r="D508" s="50">
        <v>49856</v>
      </c>
      <c r="E508" s="65">
        <v>44145</v>
      </c>
      <c r="F508" s="57">
        <v>61.92</v>
      </c>
      <c r="G508" s="32" t="s">
        <v>282</v>
      </c>
      <c r="H508" s="21" t="s">
        <v>464</v>
      </c>
      <c r="I508" s="83">
        <v>45960</v>
      </c>
      <c r="J508" s="31" t="str">
        <f t="shared" si="7"/>
        <v>49856 44145</v>
      </c>
    </row>
    <row r="509" spans="1:10" ht="16.5" x14ac:dyDescent="0.3">
      <c r="A509">
        <v>509</v>
      </c>
      <c r="B509" s="27" t="s">
        <v>205</v>
      </c>
      <c r="C509" s="50">
        <v>58672370104</v>
      </c>
      <c r="D509" s="50">
        <v>29690</v>
      </c>
      <c r="E509" s="65">
        <v>44145</v>
      </c>
      <c r="F509" s="57">
        <v>9</v>
      </c>
      <c r="G509" s="32" t="s">
        <v>282</v>
      </c>
      <c r="H509" s="21" t="s">
        <v>464</v>
      </c>
      <c r="I509" s="83">
        <v>45960</v>
      </c>
      <c r="J509" s="31" t="str">
        <f t="shared" si="7"/>
        <v>29690 44145</v>
      </c>
    </row>
    <row r="510" spans="1:10" ht="16.5" x14ac:dyDescent="0.3">
      <c r="A510">
        <v>510</v>
      </c>
      <c r="B510" s="27" t="s">
        <v>205</v>
      </c>
      <c r="C510" s="50">
        <v>59537973204</v>
      </c>
      <c r="D510" s="50">
        <v>71877</v>
      </c>
      <c r="E510" s="65">
        <v>45189</v>
      </c>
      <c r="F510" s="57">
        <v>767.32</v>
      </c>
      <c r="G510" s="32" t="s">
        <v>282</v>
      </c>
      <c r="H510" s="21" t="s">
        <v>464</v>
      </c>
      <c r="I510" s="83">
        <v>45960</v>
      </c>
      <c r="J510" s="31" t="str">
        <f t="shared" si="7"/>
        <v>71877 45189</v>
      </c>
    </row>
    <row r="511" spans="1:10" ht="16.5" x14ac:dyDescent="0.3">
      <c r="A511">
        <v>511</v>
      </c>
      <c r="B511" s="27" t="s">
        <v>205</v>
      </c>
      <c r="C511" s="50">
        <v>60215595335</v>
      </c>
      <c r="D511" s="50">
        <v>69517</v>
      </c>
      <c r="E511" s="65">
        <v>44956</v>
      </c>
      <c r="F511" s="57">
        <v>231.14</v>
      </c>
      <c r="G511" s="32" t="s">
        <v>282</v>
      </c>
      <c r="H511" s="21" t="s">
        <v>464</v>
      </c>
      <c r="I511" s="83">
        <v>45960</v>
      </c>
      <c r="J511" s="31" t="str">
        <f t="shared" si="7"/>
        <v>69517 44956</v>
      </c>
    </row>
    <row r="512" spans="1:10" ht="16.5" x14ac:dyDescent="0.3">
      <c r="A512">
        <v>512</v>
      </c>
      <c r="B512" s="27" t="s">
        <v>205</v>
      </c>
      <c r="C512" s="50">
        <v>60215595335</v>
      </c>
      <c r="D512" s="50">
        <v>69517</v>
      </c>
      <c r="E512" s="65">
        <v>44985</v>
      </c>
      <c r="F512" s="57">
        <v>231.14</v>
      </c>
      <c r="G512" s="32" t="s">
        <v>282</v>
      </c>
      <c r="H512" s="21" t="s">
        <v>464</v>
      </c>
      <c r="I512" s="83">
        <v>45960</v>
      </c>
      <c r="J512" s="31" t="str">
        <f t="shared" si="7"/>
        <v>69517 44985</v>
      </c>
    </row>
    <row r="513" spans="1:10" ht="16.5" x14ac:dyDescent="0.3">
      <c r="A513">
        <v>513</v>
      </c>
      <c r="B513" s="27" t="s">
        <v>205</v>
      </c>
      <c r="C513" s="50">
        <v>60248274317</v>
      </c>
      <c r="D513" s="50">
        <v>55116</v>
      </c>
      <c r="E513" s="65">
        <v>44803</v>
      </c>
      <c r="F513" s="57">
        <v>357.35</v>
      </c>
      <c r="G513" s="32" t="s">
        <v>282</v>
      </c>
      <c r="H513" s="21" t="s">
        <v>118</v>
      </c>
      <c r="I513" s="32" t="s">
        <v>475</v>
      </c>
      <c r="J513" s="31" t="str">
        <f t="shared" si="7"/>
        <v>55116 44803</v>
      </c>
    </row>
    <row r="514" spans="1:10" ht="16.5" x14ac:dyDescent="0.3">
      <c r="A514">
        <v>514</v>
      </c>
      <c r="B514" s="27" t="s">
        <v>205</v>
      </c>
      <c r="C514" s="50">
        <v>60248274317</v>
      </c>
      <c r="D514" s="50">
        <v>55116</v>
      </c>
      <c r="E514" s="65">
        <v>44772</v>
      </c>
      <c r="F514" s="57">
        <v>357.35</v>
      </c>
      <c r="G514" s="32" t="s">
        <v>282</v>
      </c>
      <c r="H514" s="21" t="s">
        <v>118</v>
      </c>
      <c r="I514" s="32" t="s">
        <v>475</v>
      </c>
      <c r="J514" s="31" t="str">
        <f t="shared" ref="J514:J577" si="8">_xlfn.CONCAT(D514," ",E514)</f>
        <v>55116 44772</v>
      </c>
    </row>
    <row r="515" spans="1:10" ht="16.5" x14ac:dyDescent="0.3">
      <c r="A515">
        <v>515</v>
      </c>
      <c r="B515" s="27" t="s">
        <v>205</v>
      </c>
      <c r="C515" s="50">
        <v>60268966354</v>
      </c>
      <c r="D515" s="50">
        <v>70737</v>
      </c>
      <c r="E515" s="65">
        <v>45097</v>
      </c>
      <c r="F515" s="57">
        <v>274.20999999999998</v>
      </c>
      <c r="G515" s="32" t="s">
        <v>282</v>
      </c>
      <c r="H515" s="21" t="s">
        <v>464</v>
      </c>
      <c r="I515" s="83">
        <v>45960</v>
      </c>
      <c r="J515" s="31" t="str">
        <f t="shared" si="8"/>
        <v>70737 45097</v>
      </c>
    </row>
    <row r="516" spans="1:10" ht="16.5" x14ac:dyDescent="0.3">
      <c r="A516">
        <v>516</v>
      </c>
      <c r="B516" s="27" t="s">
        <v>205</v>
      </c>
      <c r="C516" s="50">
        <v>60332714322</v>
      </c>
      <c r="D516" s="50">
        <v>72242</v>
      </c>
      <c r="E516" s="65">
        <v>45342</v>
      </c>
      <c r="F516" s="57">
        <v>251.83</v>
      </c>
      <c r="G516" s="32" t="s">
        <v>282</v>
      </c>
      <c r="H516" s="21" t="s">
        <v>464</v>
      </c>
      <c r="I516" s="83">
        <v>45960</v>
      </c>
      <c r="J516" s="31" t="str">
        <f t="shared" si="8"/>
        <v>72242 45342</v>
      </c>
    </row>
    <row r="517" spans="1:10" ht="16.5" x14ac:dyDescent="0.3">
      <c r="A517">
        <v>517</v>
      </c>
      <c r="B517" s="27" t="s">
        <v>205</v>
      </c>
      <c r="C517" s="50">
        <v>60332714322</v>
      </c>
      <c r="D517" s="50">
        <v>72242</v>
      </c>
      <c r="E517" s="65">
        <v>45311</v>
      </c>
      <c r="F517" s="57">
        <v>251.83</v>
      </c>
      <c r="G517" s="32" t="s">
        <v>282</v>
      </c>
      <c r="H517" s="21" t="s">
        <v>464</v>
      </c>
      <c r="I517" s="83">
        <v>45960</v>
      </c>
      <c r="J517" s="31" t="str">
        <f t="shared" si="8"/>
        <v>72242 45311</v>
      </c>
    </row>
    <row r="518" spans="1:10" ht="16.5" x14ac:dyDescent="0.3">
      <c r="A518">
        <v>518</v>
      </c>
      <c r="B518" s="27" t="s">
        <v>205</v>
      </c>
      <c r="C518" s="50">
        <v>60431516340</v>
      </c>
      <c r="D518" s="50">
        <v>67487</v>
      </c>
      <c r="E518" s="65">
        <v>44691</v>
      </c>
      <c r="F518" s="57">
        <v>29.4</v>
      </c>
      <c r="G518" s="32" t="s">
        <v>282</v>
      </c>
      <c r="H518" s="21" t="s">
        <v>464</v>
      </c>
      <c r="I518" s="83">
        <v>45960</v>
      </c>
      <c r="J518" s="31" t="str">
        <f t="shared" si="8"/>
        <v>67487 44691</v>
      </c>
    </row>
    <row r="519" spans="1:10" ht="16.5" x14ac:dyDescent="0.3">
      <c r="A519">
        <v>519</v>
      </c>
      <c r="B519" s="27" t="s">
        <v>205</v>
      </c>
      <c r="C519" s="50">
        <v>60653016395</v>
      </c>
      <c r="D519" s="50">
        <v>66848</v>
      </c>
      <c r="E519" s="65">
        <v>45015</v>
      </c>
      <c r="F519" s="57">
        <v>58.5</v>
      </c>
      <c r="G519" s="32" t="s">
        <v>282</v>
      </c>
      <c r="H519" s="21" t="s">
        <v>464</v>
      </c>
      <c r="I519" s="83">
        <v>45960</v>
      </c>
      <c r="J519" s="31" t="str">
        <f t="shared" si="8"/>
        <v>66848 45015</v>
      </c>
    </row>
    <row r="520" spans="1:10" ht="16.5" x14ac:dyDescent="0.3">
      <c r="A520">
        <v>520</v>
      </c>
      <c r="B520" s="27" t="s">
        <v>205</v>
      </c>
      <c r="C520" s="50">
        <v>60729980383</v>
      </c>
      <c r="D520" s="50">
        <v>63253</v>
      </c>
      <c r="E520" s="65">
        <v>45046</v>
      </c>
      <c r="F520" s="57">
        <v>25.2</v>
      </c>
      <c r="G520" s="32" t="s">
        <v>282</v>
      </c>
      <c r="H520" s="21" t="s">
        <v>464</v>
      </c>
      <c r="I520" s="83">
        <v>45960</v>
      </c>
      <c r="J520" s="31" t="str">
        <f t="shared" si="8"/>
        <v>63253 45046</v>
      </c>
    </row>
    <row r="521" spans="1:10" ht="16.5" x14ac:dyDescent="0.3">
      <c r="A521">
        <v>521</v>
      </c>
      <c r="B521" s="27" t="s">
        <v>205</v>
      </c>
      <c r="C521" s="50">
        <v>60729980383</v>
      </c>
      <c r="D521" s="50">
        <v>63253</v>
      </c>
      <c r="E521" s="65">
        <v>44985</v>
      </c>
      <c r="F521" s="57">
        <v>82.27</v>
      </c>
      <c r="G521" s="32" t="s">
        <v>282</v>
      </c>
      <c r="H521" s="21" t="s">
        <v>464</v>
      </c>
      <c r="I521" s="83">
        <v>45960</v>
      </c>
      <c r="J521" s="31" t="str">
        <f t="shared" si="8"/>
        <v>63253 44985</v>
      </c>
    </row>
    <row r="522" spans="1:10" ht="16.5" x14ac:dyDescent="0.3">
      <c r="A522">
        <v>522</v>
      </c>
      <c r="B522" s="27" t="s">
        <v>205</v>
      </c>
      <c r="C522" s="50">
        <v>60729980383</v>
      </c>
      <c r="D522" s="50">
        <v>63253</v>
      </c>
      <c r="E522" s="65">
        <v>45107</v>
      </c>
      <c r="F522" s="57">
        <v>52.12</v>
      </c>
      <c r="G522" s="32" t="s">
        <v>282</v>
      </c>
      <c r="H522" s="21" t="s">
        <v>464</v>
      </c>
      <c r="I522" s="83">
        <v>45960</v>
      </c>
      <c r="J522" s="31" t="str">
        <f t="shared" si="8"/>
        <v>63253 45107</v>
      </c>
    </row>
    <row r="523" spans="1:10" ht="16.5" x14ac:dyDescent="0.3">
      <c r="A523">
        <v>523</v>
      </c>
      <c r="B523" s="27" t="s">
        <v>205</v>
      </c>
      <c r="C523" s="50">
        <v>60729980383</v>
      </c>
      <c r="D523" s="50">
        <v>63253</v>
      </c>
      <c r="E523" s="65">
        <v>45015</v>
      </c>
      <c r="F523" s="57">
        <v>67.44</v>
      </c>
      <c r="G523" s="32" t="s">
        <v>282</v>
      </c>
      <c r="H523" s="21" t="s">
        <v>464</v>
      </c>
      <c r="I523" s="83">
        <v>45960</v>
      </c>
      <c r="J523" s="31" t="str">
        <f t="shared" si="8"/>
        <v>63253 45015</v>
      </c>
    </row>
    <row r="524" spans="1:10" ht="16.5" x14ac:dyDescent="0.3">
      <c r="A524">
        <v>524</v>
      </c>
      <c r="B524" s="27" t="s">
        <v>205</v>
      </c>
      <c r="C524" s="50">
        <v>60754470326</v>
      </c>
      <c r="D524" s="50">
        <v>68778</v>
      </c>
      <c r="E524" s="65">
        <v>45351</v>
      </c>
      <c r="F524" s="57">
        <v>289.39999999999998</v>
      </c>
      <c r="G524" s="32" t="s">
        <v>282</v>
      </c>
      <c r="H524" s="21" t="s">
        <v>464</v>
      </c>
      <c r="I524" s="83">
        <v>45960</v>
      </c>
      <c r="J524" s="31" t="str">
        <f t="shared" si="8"/>
        <v>68778 45351</v>
      </c>
    </row>
    <row r="525" spans="1:10" ht="16.5" x14ac:dyDescent="0.3">
      <c r="A525">
        <v>525</v>
      </c>
      <c r="B525" s="27" t="s">
        <v>205</v>
      </c>
      <c r="C525" s="50">
        <v>60862135346</v>
      </c>
      <c r="D525" s="50">
        <v>68878</v>
      </c>
      <c r="E525" s="65">
        <v>45219</v>
      </c>
      <c r="F525" s="57">
        <v>185.33</v>
      </c>
      <c r="G525" s="32" t="s">
        <v>282</v>
      </c>
      <c r="H525" s="21" t="s">
        <v>464</v>
      </c>
      <c r="I525" s="83">
        <v>45960</v>
      </c>
      <c r="J525" s="31" t="str">
        <f t="shared" si="8"/>
        <v>68878 45219</v>
      </c>
    </row>
    <row r="526" spans="1:10" ht="16.5" x14ac:dyDescent="0.3">
      <c r="A526">
        <v>526</v>
      </c>
      <c r="B526" s="27" t="s">
        <v>205</v>
      </c>
      <c r="C526" s="50">
        <v>60862135346</v>
      </c>
      <c r="D526" s="50">
        <v>68878</v>
      </c>
      <c r="E526" s="65">
        <v>45189</v>
      </c>
      <c r="F526" s="57">
        <v>185.33</v>
      </c>
      <c r="G526" s="32" t="s">
        <v>282</v>
      </c>
      <c r="H526" s="21" t="s">
        <v>464</v>
      </c>
      <c r="I526" s="83">
        <v>45960</v>
      </c>
      <c r="J526" s="31" t="str">
        <f t="shared" si="8"/>
        <v>68878 45189</v>
      </c>
    </row>
    <row r="527" spans="1:10" ht="16.5" x14ac:dyDescent="0.3">
      <c r="A527">
        <v>527</v>
      </c>
      <c r="B527" s="27" t="s">
        <v>205</v>
      </c>
      <c r="C527" s="50">
        <v>60913465399</v>
      </c>
      <c r="D527" s="50">
        <v>72022</v>
      </c>
      <c r="E527" s="65">
        <v>45097</v>
      </c>
      <c r="F527" s="57">
        <v>407.43</v>
      </c>
      <c r="G527" s="32" t="s">
        <v>282</v>
      </c>
      <c r="H527" s="21" t="s">
        <v>464</v>
      </c>
      <c r="I527" s="83">
        <v>45960</v>
      </c>
      <c r="J527" s="31" t="str">
        <f t="shared" si="8"/>
        <v>72022 45097</v>
      </c>
    </row>
    <row r="528" spans="1:10" ht="16.5" x14ac:dyDescent="0.3">
      <c r="A528">
        <v>528</v>
      </c>
      <c r="B528" s="27" t="s">
        <v>205</v>
      </c>
      <c r="C528" s="50">
        <v>60913465399</v>
      </c>
      <c r="D528" s="50">
        <v>72022</v>
      </c>
      <c r="E528" s="65">
        <v>45066</v>
      </c>
      <c r="F528" s="57">
        <v>407.43</v>
      </c>
      <c r="G528" s="32" t="s">
        <v>282</v>
      </c>
      <c r="H528" s="21" t="s">
        <v>464</v>
      </c>
      <c r="I528" s="83">
        <v>45960</v>
      </c>
      <c r="J528" s="31" t="str">
        <f t="shared" si="8"/>
        <v>72022 45066</v>
      </c>
    </row>
    <row r="529" spans="1:10" ht="16.5" x14ac:dyDescent="0.3">
      <c r="A529">
        <v>529</v>
      </c>
      <c r="B529" s="27" t="s">
        <v>205</v>
      </c>
      <c r="C529" s="50">
        <v>60920961371</v>
      </c>
      <c r="D529" s="50">
        <v>69498</v>
      </c>
      <c r="E529" s="65">
        <v>44956</v>
      </c>
      <c r="F529" s="57">
        <v>497.23</v>
      </c>
      <c r="G529" s="32" t="s">
        <v>282</v>
      </c>
      <c r="H529" s="21" t="s">
        <v>464</v>
      </c>
      <c r="I529" s="83">
        <v>45960</v>
      </c>
      <c r="J529" s="31" t="str">
        <f t="shared" si="8"/>
        <v>69498 44956</v>
      </c>
    </row>
    <row r="530" spans="1:10" ht="16.5" x14ac:dyDescent="0.3">
      <c r="A530">
        <v>530</v>
      </c>
      <c r="B530" s="27" t="s">
        <v>205</v>
      </c>
      <c r="C530" s="50">
        <v>60940323303</v>
      </c>
      <c r="D530" s="50">
        <v>66648</v>
      </c>
      <c r="E530" s="65">
        <v>44956</v>
      </c>
      <c r="F530" s="57">
        <v>338.59</v>
      </c>
      <c r="G530" s="32" t="s">
        <v>282</v>
      </c>
      <c r="H530" s="21" t="s">
        <v>464</v>
      </c>
      <c r="I530" s="83">
        <v>45960</v>
      </c>
      <c r="J530" s="31" t="str">
        <f t="shared" si="8"/>
        <v>66648 44956</v>
      </c>
    </row>
    <row r="531" spans="1:10" ht="16.5" x14ac:dyDescent="0.3">
      <c r="A531">
        <v>531</v>
      </c>
      <c r="B531" s="27" t="s">
        <v>205</v>
      </c>
      <c r="C531" s="50">
        <v>60940323303</v>
      </c>
      <c r="D531" s="50">
        <v>66648</v>
      </c>
      <c r="E531" s="65">
        <v>44925</v>
      </c>
      <c r="F531" s="57">
        <v>293.14999999999998</v>
      </c>
      <c r="G531" s="32" t="s">
        <v>282</v>
      </c>
      <c r="H531" s="21" t="s">
        <v>464</v>
      </c>
      <c r="I531" s="83">
        <v>45960</v>
      </c>
      <c r="J531" s="31" t="str">
        <f t="shared" si="8"/>
        <v>66648 44925</v>
      </c>
    </row>
    <row r="532" spans="1:10" ht="16.5" x14ac:dyDescent="0.3">
      <c r="A532">
        <v>532</v>
      </c>
      <c r="B532" s="27" t="s">
        <v>205</v>
      </c>
      <c r="C532" s="50">
        <v>60965382311</v>
      </c>
      <c r="D532" s="50">
        <v>70145</v>
      </c>
      <c r="E532" s="65">
        <v>44977</v>
      </c>
      <c r="F532" s="57">
        <v>156.01</v>
      </c>
      <c r="G532" s="32" t="s">
        <v>282</v>
      </c>
      <c r="H532" s="21" t="s">
        <v>464</v>
      </c>
      <c r="I532" s="83">
        <v>45960</v>
      </c>
      <c r="J532" s="31" t="str">
        <f t="shared" si="8"/>
        <v>70145 44977</v>
      </c>
    </row>
    <row r="533" spans="1:10" ht="16.5" x14ac:dyDescent="0.3">
      <c r="A533">
        <v>533</v>
      </c>
      <c r="B533" s="27" t="s">
        <v>205</v>
      </c>
      <c r="C533" s="50">
        <v>60965382311</v>
      </c>
      <c r="D533" s="50">
        <v>70145</v>
      </c>
      <c r="E533" s="65">
        <v>44946</v>
      </c>
      <c r="F533" s="57">
        <v>135.07</v>
      </c>
      <c r="G533" s="32" t="s">
        <v>282</v>
      </c>
      <c r="H533" s="21" t="s">
        <v>464</v>
      </c>
      <c r="I533" s="83">
        <v>45960</v>
      </c>
      <c r="J533" s="31" t="str">
        <f t="shared" si="8"/>
        <v>70145 44946</v>
      </c>
    </row>
    <row r="534" spans="1:10" ht="16.5" x14ac:dyDescent="0.3">
      <c r="A534">
        <v>534</v>
      </c>
      <c r="B534" s="27" t="s">
        <v>205</v>
      </c>
      <c r="C534" s="50">
        <v>61003877354</v>
      </c>
      <c r="D534" s="50">
        <v>67878</v>
      </c>
      <c r="E534" s="65">
        <v>44995</v>
      </c>
      <c r="F534" s="57">
        <v>25.2</v>
      </c>
      <c r="G534" s="32" t="s">
        <v>282</v>
      </c>
      <c r="H534" s="21" t="s">
        <v>464</v>
      </c>
      <c r="I534" s="83">
        <v>45960</v>
      </c>
      <c r="J534" s="31" t="str">
        <f t="shared" si="8"/>
        <v>67878 44995</v>
      </c>
    </row>
    <row r="535" spans="1:10" ht="16.5" x14ac:dyDescent="0.3">
      <c r="A535">
        <v>535</v>
      </c>
      <c r="B535" s="27" t="s">
        <v>205</v>
      </c>
      <c r="C535" s="50">
        <v>61012583350</v>
      </c>
      <c r="D535" s="50">
        <v>67045</v>
      </c>
      <c r="E535" s="65">
        <v>45381</v>
      </c>
      <c r="F535" s="57">
        <v>99.97</v>
      </c>
      <c r="G535" s="32" t="s">
        <v>282</v>
      </c>
      <c r="H535" s="21" t="s">
        <v>464</v>
      </c>
      <c r="I535" s="83">
        <v>45960</v>
      </c>
      <c r="J535" s="31" t="str">
        <f t="shared" si="8"/>
        <v>67045 45381</v>
      </c>
    </row>
    <row r="536" spans="1:10" ht="16.5" x14ac:dyDescent="0.3">
      <c r="A536">
        <v>536</v>
      </c>
      <c r="B536" s="27" t="s">
        <v>205</v>
      </c>
      <c r="C536" s="50">
        <v>61012583350</v>
      </c>
      <c r="D536" s="50">
        <v>67045</v>
      </c>
      <c r="E536" s="65">
        <v>45321</v>
      </c>
      <c r="F536" s="57">
        <v>74.599999999999994</v>
      </c>
      <c r="G536" s="32" t="s">
        <v>282</v>
      </c>
      <c r="H536" s="21" t="s">
        <v>464</v>
      </c>
      <c r="I536" s="83">
        <v>45960</v>
      </c>
      <c r="J536" s="31" t="str">
        <f t="shared" si="8"/>
        <v>67045 45321</v>
      </c>
    </row>
    <row r="537" spans="1:10" ht="16.5" x14ac:dyDescent="0.3">
      <c r="A537">
        <v>537</v>
      </c>
      <c r="B537" s="27" t="s">
        <v>205</v>
      </c>
      <c r="C537" s="50">
        <v>61023970376</v>
      </c>
      <c r="D537" s="50">
        <v>68727</v>
      </c>
      <c r="E537" s="65">
        <v>44946</v>
      </c>
      <c r="F537" s="57">
        <v>101.87</v>
      </c>
      <c r="G537" s="32" t="s">
        <v>282</v>
      </c>
      <c r="H537" s="21" t="s">
        <v>464</v>
      </c>
      <c r="I537" s="83">
        <v>45960</v>
      </c>
      <c r="J537" s="31" t="str">
        <f t="shared" si="8"/>
        <v>68727 44946</v>
      </c>
    </row>
    <row r="538" spans="1:10" ht="16.5" x14ac:dyDescent="0.3">
      <c r="A538">
        <v>538</v>
      </c>
      <c r="B538" s="27" t="s">
        <v>205</v>
      </c>
      <c r="C538" s="50">
        <v>61023970376</v>
      </c>
      <c r="D538" s="50">
        <v>68727</v>
      </c>
      <c r="E538" s="65">
        <v>44854</v>
      </c>
      <c r="F538" s="57">
        <v>353.8</v>
      </c>
      <c r="G538" s="32" t="s">
        <v>282</v>
      </c>
      <c r="H538" s="21" t="s">
        <v>464</v>
      </c>
      <c r="I538" s="83">
        <v>45960</v>
      </c>
      <c r="J538" s="31" t="str">
        <f t="shared" si="8"/>
        <v>68727 44854</v>
      </c>
    </row>
    <row r="539" spans="1:10" ht="16.5" x14ac:dyDescent="0.3">
      <c r="A539">
        <v>539</v>
      </c>
      <c r="B539" s="27" t="s">
        <v>205</v>
      </c>
      <c r="C539" s="50">
        <v>61023970376</v>
      </c>
      <c r="D539" s="50">
        <v>68727</v>
      </c>
      <c r="E539" s="65">
        <v>44885</v>
      </c>
      <c r="F539" s="57">
        <v>30.85</v>
      </c>
      <c r="G539" s="32" t="s">
        <v>282</v>
      </c>
      <c r="H539" s="21" t="s">
        <v>464</v>
      </c>
      <c r="I539" s="83">
        <v>45960</v>
      </c>
      <c r="J539" s="31" t="str">
        <f t="shared" si="8"/>
        <v>68727 44885</v>
      </c>
    </row>
    <row r="540" spans="1:10" ht="16.5" x14ac:dyDescent="0.3">
      <c r="A540">
        <v>540</v>
      </c>
      <c r="B540" s="27" t="s">
        <v>205</v>
      </c>
      <c r="C540" s="50">
        <v>61023970376</v>
      </c>
      <c r="D540" s="50">
        <v>68727</v>
      </c>
      <c r="E540" s="65">
        <v>44824</v>
      </c>
      <c r="F540" s="57">
        <v>287.45999999999998</v>
      </c>
      <c r="G540" s="32" t="s">
        <v>282</v>
      </c>
      <c r="H540" s="21" t="s">
        <v>464</v>
      </c>
      <c r="I540" s="83">
        <v>45960</v>
      </c>
      <c r="J540" s="31" t="str">
        <f t="shared" si="8"/>
        <v>68727 44824</v>
      </c>
    </row>
    <row r="541" spans="1:10" ht="16.5" x14ac:dyDescent="0.3">
      <c r="A541">
        <v>541</v>
      </c>
      <c r="B541" s="27" t="s">
        <v>205</v>
      </c>
      <c r="C541" s="50">
        <v>61053358300</v>
      </c>
      <c r="D541" s="50">
        <v>68678</v>
      </c>
      <c r="E541" s="65">
        <v>45066</v>
      </c>
      <c r="F541" s="57">
        <v>29.7</v>
      </c>
      <c r="G541" s="32" t="s">
        <v>282</v>
      </c>
      <c r="H541" s="21" t="s">
        <v>464</v>
      </c>
      <c r="I541" s="83">
        <v>45960</v>
      </c>
      <c r="J541" s="31" t="str">
        <f t="shared" si="8"/>
        <v>68678 45066</v>
      </c>
    </row>
    <row r="542" spans="1:10" ht="16.5" x14ac:dyDescent="0.3">
      <c r="A542">
        <v>542</v>
      </c>
      <c r="B542" s="27" t="s">
        <v>205</v>
      </c>
      <c r="C542" s="50">
        <v>61053358300</v>
      </c>
      <c r="D542" s="50">
        <v>68678</v>
      </c>
      <c r="E542" s="65">
        <v>45005</v>
      </c>
      <c r="F542" s="57">
        <v>161.69999999999999</v>
      </c>
      <c r="G542" s="32" t="s">
        <v>282</v>
      </c>
      <c r="H542" s="21" t="s">
        <v>464</v>
      </c>
      <c r="I542" s="83">
        <v>45960</v>
      </c>
      <c r="J542" s="31" t="str">
        <f t="shared" si="8"/>
        <v>68678 45005</v>
      </c>
    </row>
    <row r="543" spans="1:10" ht="16.5" x14ac:dyDescent="0.3">
      <c r="A543">
        <v>543</v>
      </c>
      <c r="B543" s="27" t="s">
        <v>205</v>
      </c>
      <c r="C543" s="50">
        <v>61071028332</v>
      </c>
      <c r="D543" s="50">
        <v>69187</v>
      </c>
      <c r="E543" s="65">
        <v>44854</v>
      </c>
      <c r="F543" s="57">
        <v>423.79</v>
      </c>
      <c r="G543" s="32" t="s">
        <v>282</v>
      </c>
      <c r="H543" s="21" t="s">
        <v>464</v>
      </c>
      <c r="I543" s="83">
        <v>45960</v>
      </c>
      <c r="J543" s="31" t="str">
        <f t="shared" si="8"/>
        <v>69187 44854</v>
      </c>
    </row>
    <row r="544" spans="1:10" ht="16.5" x14ac:dyDescent="0.3">
      <c r="A544">
        <v>544</v>
      </c>
      <c r="B544" s="27" t="s">
        <v>205</v>
      </c>
      <c r="C544" s="50">
        <v>61071028332</v>
      </c>
      <c r="D544" s="50">
        <v>69187</v>
      </c>
      <c r="E544" s="65">
        <v>44885</v>
      </c>
      <c r="F544" s="57">
        <v>502.15</v>
      </c>
      <c r="G544" s="32" t="s">
        <v>282</v>
      </c>
      <c r="H544" s="21" t="s">
        <v>464</v>
      </c>
      <c r="I544" s="83">
        <v>45960</v>
      </c>
      <c r="J544" s="31" t="str">
        <f t="shared" si="8"/>
        <v>69187 44885</v>
      </c>
    </row>
    <row r="545" spans="1:10" ht="16.5" x14ac:dyDescent="0.3">
      <c r="A545">
        <v>545</v>
      </c>
      <c r="B545" s="27" t="s">
        <v>205</v>
      </c>
      <c r="C545" s="50">
        <v>61071028332</v>
      </c>
      <c r="D545" s="50">
        <v>69187</v>
      </c>
      <c r="E545" s="65">
        <v>44915</v>
      </c>
      <c r="F545" s="57">
        <v>23.39</v>
      </c>
      <c r="G545" s="32" t="s">
        <v>282</v>
      </c>
      <c r="H545" s="21" t="s">
        <v>464</v>
      </c>
      <c r="I545" s="83">
        <v>45960</v>
      </c>
      <c r="J545" s="31" t="str">
        <f t="shared" si="8"/>
        <v>69187 44915</v>
      </c>
    </row>
    <row r="546" spans="1:10" ht="16.5" x14ac:dyDescent="0.3">
      <c r="A546">
        <v>546</v>
      </c>
      <c r="B546" s="27" t="s">
        <v>205</v>
      </c>
      <c r="C546" s="50">
        <v>61079018336</v>
      </c>
      <c r="D546" s="50">
        <v>70121</v>
      </c>
      <c r="E546" s="65">
        <v>44977</v>
      </c>
      <c r="F546" s="57">
        <v>274.20999999999998</v>
      </c>
      <c r="G546" s="32" t="s">
        <v>282</v>
      </c>
      <c r="H546" s="21" t="s">
        <v>464</v>
      </c>
      <c r="I546" s="83">
        <v>45960</v>
      </c>
      <c r="J546" s="31" t="str">
        <f t="shared" si="8"/>
        <v>70121 44977</v>
      </c>
    </row>
    <row r="547" spans="1:10" ht="16.5" x14ac:dyDescent="0.3">
      <c r="A547">
        <v>547</v>
      </c>
      <c r="B547" s="27" t="s">
        <v>205</v>
      </c>
      <c r="C547" s="50">
        <v>61079018336</v>
      </c>
      <c r="D547" s="50">
        <v>70121</v>
      </c>
      <c r="E547" s="65">
        <v>45066</v>
      </c>
      <c r="F547" s="57">
        <v>36</v>
      </c>
      <c r="G547" s="32" t="s">
        <v>282</v>
      </c>
      <c r="H547" s="21" t="s">
        <v>464</v>
      </c>
      <c r="I547" s="83">
        <v>45960</v>
      </c>
      <c r="J547" s="31" t="str">
        <f t="shared" si="8"/>
        <v>70121 45066</v>
      </c>
    </row>
    <row r="548" spans="1:10" ht="16.5" x14ac:dyDescent="0.3">
      <c r="A548">
        <v>548</v>
      </c>
      <c r="B548" s="27" t="s">
        <v>205</v>
      </c>
      <c r="C548" s="50">
        <v>61079018336</v>
      </c>
      <c r="D548" s="50">
        <v>70121</v>
      </c>
      <c r="E548" s="65">
        <v>45005</v>
      </c>
      <c r="F548" s="57">
        <v>36</v>
      </c>
      <c r="G548" s="32" t="s">
        <v>282</v>
      </c>
      <c r="H548" s="21" t="s">
        <v>464</v>
      </c>
      <c r="I548" s="83">
        <v>45960</v>
      </c>
      <c r="J548" s="31" t="str">
        <f t="shared" si="8"/>
        <v>70121 45005</v>
      </c>
    </row>
    <row r="549" spans="1:10" ht="16.5" x14ac:dyDescent="0.3">
      <c r="A549">
        <v>549</v>
      </c>
      <c r="B549" s="27" t="s">
        <v>205</v>
      </c>
      <c r="C549" s="50">
        <v>61236641310</v>
      </c>
      <c r="D549" s="50">
        <v>68274</v>
      </c>
      <c r="E549" s="65">
        <v>45342</v>
      </c>
      <c r="F549" s="57">
        <v>36</v>
      </c>
      <c r="G549" s="32" t="s">
        <v>282</v>
      </c>
      <c r="H549" s="21" t="s">
        <v>464</v>
      </c>
      <c r="I549" s="83">
        <v>45960</v>
      </c>
      <c r="J549" s="31" t="str">
        <f t="shared" si="8"/>
        <v>68274 45342</v>
      </c>
    </row>
    <row r="550" spans="1:10" ht="16.5" x14ac:dyDescent="0.3">
      <c r="A550">
        <v>550</v>
      </c>
      <c r="B550" s="27" t="s">
        <v>205</v>
      </c>
      <c r="C550" s="50">
        <v>61243375337</v>
      </c>
      <c r="D550" s="50">
        <v>69506</v>
      </c>
      <c r="E550" s="65">
        <v>45137</v>
      </c>
      <c r="F550" s="57">
        <v>349.98</v>
      </c>
      <c r="G550" s="32" t="s">
        <v>282</v>
      </c>
      <c r="H550" s="21" t="s">
        <v>464</v>
      </c>
      <c r="I550" s="83">
        <v>45960</v>
      </c>
      <c r="J550" s="31" t="str">
        <f t="shared" si="8"/>
        <v>69506 45137</v>
      </c>
    </row>
    <row r="551" spans="1:10" ht="16.5" x14ac:dyDescent="0.3">
      <c r="A551">
        <v>551</v>
      </c>
      <c r="B551" s="27" t="s">
        <v>205</v>
      </c>
      <c r="C551" s="50">
        <v>61243375337</v>
      </c>
      <c r="D551" s="50">
        <v>69506</v>
      </c>
      <c r="E551" s="65">
        <v>45107</v>
      </c>
      <c r="F551" s="57">
        <v>322.49</v>
      </c>
      <c r="G551" s="32" t="s">
        <v>282</v>
      </c>
      <c r="H551" s="21" t="s">
        <v>464</v>
      </c>
      <c r="I551" s="83">
        <v>45960</v>
      </c>
      <c r="J551" s="31" t="str">
        <f t="shared" si="8"/>
        <v>69506 45107</v>
      </c>
    </row>
    <row r="552" spans="1:10" ht="16.5" x14ac:dyDescent="0.3">
      <c r="A552">
        <v>552</v>
      </c>
      <c r="B552" s="27" t="s">
        <v>205</v>
      </c>
      <c r="C552" s="50">
        <v>61273319354</v>
      </c>
      <c r="D552" s="50">
        <v>71394</v>
      </c>
      <c r="E552" s="65">
        <v>45361</v>
      </c>
      <c r="F552" s="57">
        <v>210.65</v>
      </c>
      <c r="G552" s="32" t="s">
        <v>282</v>
      </c>
      <c r="H552" s="21" t="s">
        <v>464</v>
      </c>
      <c r="I552" s="83">
        <v>45960</v>
      </c>
      <c r="J552" s="31" t="str">
        <f t="shared" si="8"/>
        <v>71394 45361</v>
      </c>
    </row>
    <row r="553" spans="1:10" ht="16.5" x14ac:dyDescent="0.3">
      <c r="A553">
        <v>553</v>
      </c>
      <c r="B553" s="27" t="s">
        <v>205</v>
      </c>
      <c r="C553" s="50">
        <v>61407938312</v>
      </c>
      <c r="D553" s="50">
        <v>65794</v>
      </c>
      <c r="E553" s="65">
        <v>45158</v>
      </c>
      <c r="F553" s="57">
        <v>72</v>
      </c>
      <c r="G553" s="32" t="s">
        <v>282</v>
      </c>
      <c r="H553" s="21" t="s">
        <v>464</v>
      </c>
      <c r="I553" s="83">
        <v>45960</v>
      </c>
      <c r="J553" s="31" t="str">
        <f t="shared" si="8"/>
        <v>65794 45158</v>
      </c>
    </row>
    <row r="554" spans="1:10" ht="16.5" x14ac:dyDescent="0.3">
      <c r="A554">
        <v>554</v>
      </c>
      <c r="B554" s="27" t="s">
        <v>205</v>
      </c>
      <c r="C554" s="50">
        <v>61407938312</v>
      </c>
      <c r="D554" s="50">
        <v>65794</v>
      </c>
      <c r="E554" s="65">
        <v>45127</v>
      </c>
      <c r="F554" s="57">
        <v>199.91</v>
      </c>
      <c r="G554" s="32" t="s">
        <v>282</v>
      </c>
      <c r="H554" s="21" t="s">
        <v>464</v>
      </c>
      <c r="I554" s="83">
        <v>45960</v>
      </c>
      <c r="J554" s="31" t="str">
        <f t="shared" si="8"/>
        <v>65794 45127</v>
      </c>
    </row>
    <row r="555" spans="1:10" ht="16.5" x14ac:dyDescent="0.3">
      <c r="A555">
        <v>555</v>
      </c>
      <c r="B555" s="27" t="s">
        <v>205</v>
      </c>
      <c r="C555" s="50">
        <v>61407938312</v>
      </c>
      <c r="D555" s="50">
        <v>65794</v>
      </c>
      <c r="E555" s="65">
        <v>45097</v>
      </c>
      <c r="F555" s="57">
        <v>182.35</v>
      </c>
      <c r="G555" s="32" t="s">
        <v>282</v>
      </c>
      <c r="H555" s="21" t="s">
        <v>464</v>
      </c>
      <c r="I555" s="83">
        <v>45960</v>
      </c>
      <c r="J555" s="31" t="str">
        <f t="shared" si="8"/>
        <v>65794 45097</v>
      </c>
    </row>
    <row r="556" spans="1:10" ht="16.5" x14ac:dyDescent="0.3">
      <c r="A556">
        <v>556</v>
      </c>
      <c r="B556" s="27" t="s">
        <v>205</v>
      </c>
      <c r="C556" s="50">
        <v>61437227309</v>
      </c>
      <c r="D556" s="50">
        <v>67322</v>
      </c>
      <c r="E556" s="65">
        <v>45097</v>
      </c>
      <c r="F556" s="57">
        <v>265.89</v>
      </c>
      <c r="G556" s="32" t="s">
        <v>282</v>
      </c>
      <c r="H556" s="21" t="s">
        <v>464</v>
      </c>
      <c r="I556" s="83">
        <v>45960</v>
      </c>
      <c r="J556" s="31" t="str">
        <f t="shared" si="8"/>
        <v>67322 45097</v>
      </c>
    </row>
    <row r="557" spans="1:10" ht="16.5" x14ac:dyDescent="0.3">
      <c r="A557">
        <v>557</v>
      </c>
      <c r="B557" s="27" t="s">
        <v>205</v>
      </c>
      <c r="C557" s="50">
        <v>61437227309</v>
      </c>
      <c r="D557" s="50">
        <v>67322</v>
      </c>
      <c r="E557" s="65">
        <v>45066</v>
      </c>
      <c r="F557" s="57">
        <v>265.89</v>
      </c>
      <c r="G557" s="32" t="s">
        <v>282</v>
      </c>
      <c r="H557" s="21" t="s">
        <v>464</v>
      </c>
      <c r="I557" s="83">
        <v>45960</v>
      </c>
      <c r="J557" s="31" t="str">
        <f t="shared" si="8"/>
        <v>67322 45066</v>
      </c>
    </row>
    <row r="558" spans="1:10" ht="16.5" x14ac:dyDescent="0.3">
      <c r="A558">
        <v>558</v>
      </c>
      <c r="B558" s="27" t="s">
        <v>205</v>
      </c>
      <c r="C558" s="50">
        <v>61487655355</v>
      </c>
      <c r="D558" s="50">
        <v>70493</v>
      </c>
      <c r="E558" s="65">
        <v>45127</v>
      </c>
      <c r="F558" s="57">
        <v>17.2</v>
      </c>
      <c r="G558" s="32" t="s">
        <v>282</v>
      </c>
      <c r="H558" s="21" t="s">
        <v>464</v>
      </c>
      <c r="I558" s="83">
        <v>45960</v>
      </c>
      <c r="J558" s="31" t="str">
        <f t="shared" si="8"/>
        <v>70493 45127</v>
      </c>
    </row>
    <row r="559" spans="1:10" ht="16.5" x14ac:dyDescent="0.3">
      <c r="A559">
        <v>559</v>
      </c>
      <c r="B559" s="27" t="s">
        <v>205</v>
      </c>
      <c r="C559" s="50">
        <v>61487655355</v>
      </c>
      <c r="D559" s="50">
        <v>70493</v>
      </c>
      <c r="E559" s="65">
        <v>45097</v>
      </c>
      <c r="F559" s="57">
        <v>111.11</v>
      </c>
      <c r="G559" s="32" t="s">
        <v>282</v>
      </c>
      <c r="H559" s="21" t="s">
        <v>464</v>
      </c>
      <c r="I559" s="83">
        <v>45960</v>
      </c>
      <c r="J559" s="31" t="str">
        <f t="shared" si="8"/>
        <v>70493 45097</v>
      </c>
    </row>
    <row r="560" spans="1:10" ht="16.5" x14ac:dyDescent="0.3">
      <c r="A560">
        <v>560</v>
      </c>
      <c r="B560" s="27" t="s">
        <v>205</v>
      </c>
      <c r="C560" s="50">
        <v>61487655355</v>
      </c>
      <c r="D560" s="50">
        <v>70493</v>
      </c>
      <c r="E560" s="65">
        <v>45066</v>
      </c>
      <c r="F560" s="57">
        <v>280.77999999999997</v>
      </c>
      <c r="G560" s="32" t="s">
        <v>282</v>
      </c>
      <c r="H560" s="21" t="s">
        <v>464</v>
      </c>
      <c r="I560" s="83">
        <v>45960</v>
      </c>
      <c r="J560" s="31" t="str">
        <f t="shared" si="8"/>
        <v>70493 45066</v>
      </c>
    </row>
    <row r="561" spans="1:10" ht="16.5" x14ac:dyDescent="0.3">
      <c r="A561">
        <v>561</v>
      </c>
      <c r="B561" s="27" t="s">
        <v>205</v>
      </c>
      <c r="C561" s="50">
        <v>61530542340</v>
      </c>
      <c r="D561" s="50">
        <v>69532</v>
      </c>
      <c r="E561" s="65">
        <v>44814</v>
      </c>
      <c r="F561" s="57">
        <v>58.8</v>
      </c>
      <c r="G561" s="32" t="s">
        <v>282</v>
      </c>
      <c r="H561" s="21" t="s">
        <v>464</v>
      </c>
      <c r="I561" s="83">
        <v>45960</v>
      </c>
      <c r="J561" s="31" t="str">
        <f t="shared" si="8"/>
        <v>69532 44814</v>
      </c>
    </row>
    <row r="562" spans="1:10" ht="16.5" x14ac:dyDescent="0.3">
      <c r="A562">
        <v>562</v>
      </c>
      <c r="B562" s="27" t="s">
        <v>205</v>
      </c>
      <c r="C562" s="50">
        <v>61530542340</v>
      </c>
      <c r="D562" s="50">
        <v>69532</v>
      </c>
      <c r="E562" s="65">
        <v>44722</v>
      </c>
      <c r="F562" s="57">
        <v>156.13</v>
      </c>
      <c r="G562" s="32" t="s">
        <v>282</v>
      </c>
      <c r="H562" s="21" t="s">
        <v>464</v>
      </c>
      <c r="I562" s="83">
        <v>45960</v>
      </c>
      <c r="J562" s="31" t="str">
        <f t="shared" si="8"/>
        <v>69532 44722</v>
      </c>
    </row>
    <row r="563" spans="1:10" ht="16.5" x14ac:dyDescent="0.3">
      <c r="A563">
        <v>563</v>
      </c>
      <c r="B563" s="27" t="s">
        <v>205</v>
      </c>
      <c r="C563" s="50">
        <v>61565995333</v>
      </c>
      <c r="D563" s="50">
        <v>72061</v>
      </c>
      <c r="E563" s="65">
        <v>45026</v>
      </c>
      <c r="F563" s="57">
        <v>251.83</v>
      </c>
      <c r="G563" s="32" t="s">
        <v>282</v>
      </c>
      <c r="H563" s="21" t="s">
        <v>118</v>
      </c>
      <c r="I563" s="32" t="s">
        <v>475</v>
      </c>
      <c r="J563" s="31" t="str">
        <f t="shared" si="8"/>
        <v>72061 45026</v>
      </c>
    </row>
    <row r="564" spans="1:10" ht="16.5" x14ac:dyDescent="0.3">
      <c r="A564">
        <v>564</v>
      </c>
      <c r="B564" s="27" t="s">
        <v>205</v>
      </c>
      <c r="C564" s="50">
        <v>61576709329</v>
      </c>
      <c r="D564" s="50">
        <v>72027</v>
      </c>
      <c r="E564" s="65">
        <v>45402</v>
      </c>
      <c r="F564" s="57">
        <v>229.2</v>
      </c>
      <c r="G564" s="32" t="s">
        <v>282</v>
      </c>
      <c r="H564" s="21" t="s">
        <v>464</v>
      </c>
      <c r="I564" s="83">
        <v>45960</v>
      </c>
      <c r="J564" s="31" t="str">
        <f t="shared" si="8"/>
        <v>72027 45402</v>
      </c>
    </row>
    <row r="565" spans="1:10" ht="16.5" x14ac:dyDescent="0.3">
      <c r="A565">
        <v>565</v>
      </c>
      <c r="B565" s="27" t="s">
        <v>205</v>
      </c>
      <c r="C565" s="50">
        <v>61576842320</v>
      </c>
      <c r="D565" s="50">
        <v>67851</v>
      </c>
      <c r="E565" s="65">
        <v>44449</v>
      </c>
      <c r="F565" s="57">
        <v>161.33000000000001</v>
      </c>
      <c r="G565" s="32" t="s">
        <v>282</v>
      </c>
      <c r="H565" s="21" t="s">
        <v>464</v>
      </c>
      <c r="I565" s="83">
        <v>45960</v>
      </c>
      <c r="J565" s="31" t="str">
        <f t="shared" si="8"/>
        <v>67851 44449</v>
      </c>
    </row>
    <row r="566" spans="1:10" ht="16.5" x14ac:dyDescent="0.3">
      <c r="A566">
        <v>566</v>
      </c>
      <c r="B566" s="27" t="s">
        <v>205</v>
      </c>
      <c r="C566" s="50">
        <v>61576842320</v>
      </c>
      <c r="D566" s="50">
        <v>67851</v>
      </c>
      <c r="E566" s="65">
        <v>44418</v>
      </c>
      <c r="F566" s="57">
        <v>210.33</v>
      </c>
      <c r="G566" s="32" t="s">
        <v>282</v>
      </c>
      <c r="H566" s="21" t="s">
        <v>464</v>
      </c>
      <c r="I566" s="83">
        <v>45960</v>
      </c>
      <c r="J566" s="31" t="str">
        <f t="shared" si="8"/>
        <v>67851 44418</v>
      </c>
    </row>
    <row r="567" spans="1:10" ht="16.5" x14ac:dyDescent="0.3">
      <c r="A567">
        <v>567</v>
      </c>
      <c r="B567" s="27" t="s">
        <v>205</v>
      </c>
      <c r="C567" s="50">
        <v>61600675328</v>
      </c>
      <c r="D567" s="50">
        <v>72104</v>
      </c>
      <c r="E567" s="65">
        <v>45250</v>
      </c>
      <c r="F567" s="66">
        <v>36</v>
      </c>
      <c r="G567" s="32" t="s">
        <v>282</v>
      </c>
      <c r="H567" s="21" t="s">
        <v>464</v>
      </c>
      <c r="I567" s="83">
        <v>45960</v>
      </c>
      <c r="J567" s="31" t="str">
        <f t="shared" si="8"/>
        <v>72104 45250</v>
      </c>
    </row>
    <row r="568" spans="1:10" ht="16.5" x14ac:dyDescent="0.3">
      <c r="A568">
        <v>568</v>
      </c>
      <c r="B568" s="27" t="s">
        <v>205</v>
      </c>
      <c r="C568" s="50">
        <v>61600675328</v>
      </c>
      <c r="D568" s="50">
        <v>72104</v>
      </c>
      <c r="E568" s="65">
        <v>45189</v>
      </c>
      <c r="F568" s="66">
        <v>251.83</v>
      </c>
      <c r="G568" s="32" t="s">
        <v>282</v>
      </c>
      <c r="H568" s="21" t="s">
        <v>464</v>
      </c>
      <c r="I568" s="83">
        <v>45960</v>
      </c>
      <c r="J568" s="31" t="str">
        <f t="shared" si="8"/>
        <v>72104 45189</v>
      </c>
    </row>
    <row r="569" spans="1:10" ht="16.5" x14ac:dyDescent="0.3">
      <c r="A569">
        <v>569</v>
      </c>
      <c r="B569" s="27" t="s">
        <v>205</v>
      </c>
      <c r="C569" s="50">
        <v>61681671379</v>
      </c>
      <c r="D569" s="50">
        <v>71945</v>
      </c>
      <c r="E569" s="65">
        <v>45229</v>
      </c>
      <c r="F569" s="66">
        <v>251.83</v>
      </c>
      <c r="G569" s="32" t="s">
        <v>282</v>
      </c>
      <c r="H569" s="21" t="s">
        <v>118</v>
      </c>
      <c r="I569" s="32" t="s">
        <v>475</v>
      </c>
      <c r="J569" s="31" t="str">
        <f t="shared" si="8"/>
        <v>71945 45229</v>
      </c>
    </row>
    <row r="570" spans="1:10" ht="16.5" x14ac:dyDescent="0.3">
      <c r="A570">
        <v>570</v>
      </c>
      <c r="B570" s="27" t="s">
        <v>205</v>
      </c>
      <c r="C570" s="50">
        <v>61681671379</v>
      </c>
      <c r="D570" s="50">
        <v>71945</v>
      </c>
      <c r="E570" s="65">
        <v>45199</v>
      </c>
      <c r="F570" s="66">
        <v>251.83</v>
      </c>
      <c r="G570" s="32" t="s">
        <v>282</v>
      </c>
      <c r="H570" s="21" t="s">
        <v>118</v>
      </c>
      <c r="I570" s="32" t="s">
        <v>475</v>
      </c>
      <c r="J570" s="31" t="str">
        <f t="shared" si="8"/>
        <v>71945 45199</v>
      </c>
    </row>
    <row r="571" spans="1:10" ht="16.5" x14ac:dyDescent="0.3">
      <c r="A571">
        <v>571</v>
      </c>
      <c r="B571" s="27" t="s">
        <v>205</v>
      </c>
      <c r="C571" s="50">
        <v>61973084368</v>
      </c>
      <c r="D571" s="50">
        <v>52731</v>
      </c>
      <c r="E571" s="65">
        <v>45229</v>
      </c>
      <c r="F571" s="66">
        <v>998.32</v>
      </c>
      <c r="G571" s="32" t="s">
        <v>282</v>
      </c>
      <c r="H571" s="21" t="s">
        <v>464</v>
      </c>
      <c r="I571" s="83">
        <v>45960</v>
      </c>
      <c r="J571" s="31" t="str">
        <f t="shared" si="8"/>
        <v>52731 45229</v>
      </c>
    </row>
    <row r="572" spans="1:10" ht="16.5" x14ac:dyDescent="0.3">
      <c r="A572">
        <v>572</v>
      </c>
      <c r="B572" s="27" t="s">
        <v>205</v>
      </c>
      <c r="C572" s="50">
        <v>61973084368</v>
      </c>
      <c r="D572" s="50">
        <v>52731</v>
      </c>
      <c r="E572" s="65">
        <v>45199</v>
      </c>
      <c r="F572" s="66">
        <v>998.32</v>
      </c>
      <c r="G572" s="32" t="s">
        <v>282</v>
      </c>
      <c r="H572" s="21" t="s">
        <v>464</v>
      </c>
      <c r="I572" s="83">
        <v>45960</v>
      </c>
      <c r="J572" s="31" t="str">
        <f t="shared" si="8"/>
        <v>52731 45199</v>
      </c>
    </row>
    <row r="573" spans="1:10" ht="16.5" x14ac:dyDescent="0.3">
      <c r="A573">
        <v>573</v>
      </c>
      <c r="B573" s="27" t="s">
        <v>205</v>
      </c>
      <c r="C573" s="50">
        <v>62131536321</v>
      </c>
      <c r="D573" s="50">
        <v>68322</v>
      </c>
      <c r="E573" s="65">
        <v>45005</v>
      </c>
      <c r="F573" s="66">
        <v>226.91</v>
      </c>
      <c r="G573" s="32" t="s">
        <v>282</v>
      </c>
      <c r="H573" s="21" t="s">
        <v>118</v>
      </c>
      <c r="I573" s="32" t="s">
        <v>475</v>
      </c>
      <c r="J573" s="31" t="str">
        <f t="shared" si="8"/>
        <v>68322 45005</v>
      </c>
    </row>
    <row r="574" spans="1:10" ht="16.5" x14ac:dyDescent="0.3">
      <c r="A574">
        <v>574</v>
      </c>
      <c r="B574" s="27" t="s">
        <v>205</v>
      </c>
      <c r="C574" s="50">
        <v>62221596307</v>
      </c>
      <c r="D574" s="50">
        <v>71870</v>
      </c>
      <c r="E574" s="65">
        <v>45127</v>
      </c>
      <c r="F574" s="66">
        <v>26.46</v>
      </c>
      <c r="G574" s="32" t="s">
        <v>282</v>
      </c>
      <c r="H574" s="21" t="s">
        <v>464</v>
      </c>
      <c r="I574" s="83">
        <v>45960</v>
      </c>
      <c r="J574" s="31" t="str">
        <f t="shared" si="8"/>
        <v>71870 45127</v>
      </c>
    </row>
    <row r="575" spans="1:10" ht="16.5" x14ac:dyDescent="0.3">
      <c r="A575">
        <v>575</v>
      </c>
      <c r="B575" s="27" t="s">
        <v>205</v>
      </c>
      <c r="C575" s="50">
        <v>62353006388</v>
      </c>
      <c r="D575" s="50">
        <v>70472</v>
      </c>
      <c r="E575" s="65">
        <v>45097</v>
      </c>
      <c r="F575" s="66">
        <v>76.44</v>
      </c>
      <c r="G575" s="32" t="s">
        <v>282</v>
      </c>
      <c r="H575" s="21" t="s">
        <v>464</v>
      </c>
      <c r="I575" s="83">
        <v>45960</v>
      </c>
      <c r="J575" s="31" t="str">
        <f t="shared" si="8"/>
        <v>70472 45097</v>
      </c>
    </row>
    <row r="576" spans="1:10" ht="16.5" x14ac:dyDescent="0.3">
      <c r="A576">
        <v>576</v>
      </c>
      <c r="B576" s="27" t="s">
        <v>205</v>
      </c>
      <c r="C576" s="50">
        <v>62379291349</v>
      </c>
      <c r="D576" s="50">
        <v>68055</v>
      </c>
      <c r="E576" s="65">
        <v>44967</v>
      </c>
      <c r="F576" s="66">
        <v>206.98</v>
      </c>
      <c r="G576" s="32" t="s">
        <v>282</v>
      </c>
      <c r="H576" s="21" t="s">
        <v>464</v>
      </c>
      <c r="I576" s="83">
        <v>45960</v>
      </c>
      <c r="J576" s="31" t="str">
        <f t="shared" si="8"/>
        <v>68055 44967</v>
      </c>
    </row>
    <row r="577" spans="1:10" ht="16.5" x14ac:dyDescent="0.3">
      <c r="A577">
        <v>577</v>
      </c>
      <c r="B577" s="27" t="s">
        <v>205</v>
      </c>
      <c r="C577" s="50">
        <v>62379291349</v>
      </c>
      <c r="D577" s="50">
        <v>68055</v>
      </c>
      <c r="E577" s="65">
        <v>44905</v>
      </c>
      <c r="F577" s="66">
        <v>206.98</v>
      </c>
      <c r="G577" s="32" t="s">
        <v>282</v>
      </c>
      <c r="H577" s="21" t="s">
        <v>464</v>
      </c>
      <c r="I577" s="83">
        <v>45960</v>
      </c>
      <c r="J577" s="31" t="str">
        <f t="shared" si="8"/>
        <v>68055 44905</v>
      </c>
    </row>
    <row r="578" spans="1:10" ht="16.5" x14ac:dyDescent="0.3">
      <c r="A578">
        <v>578</v>
      </c>
      <c r="B578" s="27" t="s">
        <v>205</v>
      </c>
      <c r="C578" s="50">
        <v>62553976372</v>
      </c>
      <c r="D578" s="50">
        <v>46961</v>
      </c>
      <c r="E578" s="65">
        <v>45219</v>
      </c>
      <c r="F578" s="66">
        <v>212.44</v>
      </c>
      <c r="G578" s="32" t="s">
        <v>282</v>
      </c>
      <c r="H578" s="21" t="s">
        <v>464</v>
      </c>
      <c r="I578" s="83">
        <v>45960</v>
      </c>
      <c r="J578" s="31" t="str">
        <f t="shared" ref="J578:J641" si="9">_xlfn.CONCAT(D578," ",E578)</f>
        <v>46961 45219</v>
      </c>
    </row>
    <row r="579" spans="1:10" ht="16.5" x14ac:dyDescent="0.3">
      <c r="A579">
        <v>579</v>
      </c>
      <c r="B579" s="27" t="s">
        <v>205</v>
      </c>
      <c r="C579" s="50">
        <v>62638792381</v>
      </c>
      <c r="D579" s="50">
        <v>68387</v>
      </c>
      <c r="E579" s="65">
        <v>44681</v>
      </c>
      <c r="F579" s="66">
        <v>33.6</v>
      </c>
      <c r="G579" s="32" t="s">
        <v>282</v>
      </c>
      <c r="H579" s="21" t="s">
        <v>464</v>
      </c>
      <c r="I579" s="83">
        <v>45960</v>
      </c>
      <c r="J579" s="31" t="str">
        <f t="shared" si="9"/>
        <v>68387 44681</v>
      </c>
    </row>
    <row r="580" spans="1:10" ht="16.5" x14ac:dyDescent="0.3">
      <c r="A580">
        <v>580</v>
      </c>
      <c r="B580" s="27" t="s">
        <v>205</v>
      </c>
      <c r="C580" s="50">
        <v>62638792381</v>
      </c>
      <c r="D580" s="50">
        <v>68387</v>
      </c>
      <c r="E580" s="65">
        <v>44499</v>
      </c>
      <c r="F580" s="66">
        <v>178.29</v>
      </c>
      <c r="G580" s="32" t="s">
        <v>282</v>
      </c>
      <c r="H580" s="21" t="s">
        <v>464</v>
      </c>
      <c r="I580" s="83">
        <v>45960</v>
      </c>
      <c r="J580" s="31" t="str">
        <f t="shared" si="9"/>
        <v>68387 44499</v>
      </c>
    </row>
    <row r="581" spans="1:10" ht="16.5" x14ac:dyDescent="0.3">
      <c r="A581">
        <v>581</v>
      </c>
      <c r="B581" s="27" t="s">
        <v>205</v>
      </c>
      <c r="C581" s="50">
        <v>62638792381</v>
      </c>
      <c r="D581" s="50">
        <v>68387</v>
      </c>
      <c r="E581" s="65">
        <v>44530</v>
      </c>
      <c r="F581" s="66">
        <v>178.29</v>
      </c>
      <c r="G581" s="32" t="s">
        <v>282</v>
      </c>
      <c r="H581" s="21" t="s">
        <v>464</v>
      </c>
      <c r="I581" s="83">
        <v>45960</v>
      </c>
      <c r="J581" s="31" t="str">
        <f t="shared" si="9"/>
        <v>68387 44530</v>
      </c>
    </row>
    <row r="582" spans="1:10" ht="16.5" x14ac:dyDescent="0.3">
      <c r="A582">
        <v>582</v>
      </c>
      <c r="B582" s="27" t="s">
        <v>205</v>
      </c>
      <c r="C582" s="50">
        <v>62683125380</v>
      </c>
      <c r="D582" s="50">
        <v>70323</v>
      </c>
      <c r="E582" s="65">
        <v>45137</v>
      </c>
      <c r="F582" s="66">
        <v>36</v>
      </c>
      <c r="G582" s="32" t="s">
        <v>282</v>
      </c>
      <c r="H582" s="21" t="s">
        <v>464</v>
      </c>
      <c r="I582" s="83">
        <v>45960</v>
      </c>
      <c r="J582" s="31" t="str">
        <f t="shared" si="9"/>
        <v>70323 45137</v>
      </c>
    </row>
    <row r="583" spans="1:10" ht="16.5" x14ac:dyDescent="0.3">
      <c r="A583">
        <v>583</v>
      </c>
      <c r="B583" s="27" t="s">
        <v>205</v>
      </c>
      <c r="C583" s="50">
        <v>62683125380</v>
      </c>
      <c r="D583" s="50">
        <v>70323</v>
      </c>
      <c r="E583" s="65">
        <v>45046</v>
      </c>
      <c r="F583" s="66">
        <v>274.20999999999998</v>
      </c>
      <c r="G583" s="32" t="s">
        <v>282</v>
      </c>
      <c r="H583" s="21" t="s">
        <v>464</v>
      </c>
      <c r="I583" s="83">
        <v>45960</v>
      </c>
      <c r="J583" s="31" t="str">
        <f t="shared" si="9"/>
        <v>70323 45046</v>
      </c>
    </row>
    <row r="584" spans="1:10" ht="16.5" x14ac:dyDescent="0.3">
      <c r="A584">
        <v>584</v>
      </c>
      <c r="B584" s="27" t="s">
        <v>205</v>
      </c>
      <c r="C584" s="50">
        <v>62683125380</v>
      </c>
      <c r="D584" s="50">
        <v>70323</v>
      </c>
      <c r="E584" s="65">
        <v>45076</v>
      </c>
      <c r="F584" s="66">
        <v>274.20999999999998</v>
      </c>
      <c r="G584" s="32" t="s">
        <v>282</v>
      </c>
      <c r="H584" s="21" t="s">
        <v>464</v>
      </c>
      <c r="I584" s="83">
        <v>45960</v>
      </c>
      <c r="J584" s="31" t="str">
        <f t="shared" si="9"/>
        <v>70323 45076</v>
      </c>
    </row>
    <row r="585" spans="1:10" ht="16.5" x14ac:dyDescent="0.3">
      <c r="A585">
        <v>585</v>
      </c>
      <c r="B585" s="27" t="s">
        <v>205</v>
      </c>
      <c r="C585" s="50">
        <v>62730581308</v>
      </c>
      <c r="D585" s="50">
        <v>70411</v>
      </c>
      <c r="E585" s="65">
        <v>45342</v>
      </c>
      <c r="F585" s="66">
        <v>234.77</v>
      </c>
      <c r="G585" s="32" t="s">
        <v>282</v>
      </c>
      <c r="H585" s="21" t="s">
        <v>464</v>
      </c>
      <c r="I585" s="83">
        <v>45960</v>
      </c>
      <c r="J585" s="31" t="str">
        <f t="shared" si="9"/>
        <v>70411 45342</v>
      </c>
    </row>
    <row r="586" spans="1:10" ht="16.5" x14ac:dyDescent="0.3">
      <c r="A586">
        <v>586</v>
      </c>
      <c r="B586" s="27" t="s">
        <v>205</v>
      </c>
      <c r="C586" s="50">
        <v>62871943320</v>
      </c>
      <c r="D586" s="50">
        <v>65524</v>
      </c>
      <c r="E586" s="65">
        <v>45301</v>
      </c>
      <c r="F586" s="66">
        <v>487.62</v>
      </c>
      <c r="G586" s="32" t="s">
        <v>282</v>
      </c>
      <c r="H586" s="21" t="s">
        <v>464</v>
      </c>
      <c r="I586" s="83">
        <v>45960</v>
      </c>
      <c r="J586" s="31" t="str">
        <f t="shared" si="9"/>
        <v>65524 45301</v>
      </c>
    </row>
    <row r="587" spans="1:10" ht="16.5" x14ac:dyDescent="0.3">
      <c r="A587">
        <v>587</v>
      </c>
      <c r="B587" s="27" t="s">
        <v>205</v>
      </c>
      <c r="C587" s="50">
        <v>63112213300</v>
      </c>
      <c r="D587" s="50">
        <v>51467</v>
      </c>
      <c r="E587" s="65">
        <v>44630</v>
      </c>
      <c r="F587" s="66">
        <v>130.04</v>
      </c>
      <c r="G587" s="32" t="s">
        <v>282</v>
      </c>
      <c r="H587" s="21" t="s">
        <v>464</v>
      </c>
      <c r="I587" s="83">
        <v>45960</v>
      </c>
      <c r="J587" s="31" t="str">
        <f t="shared" si="9"/>
        <v>51467 44630</v>
      </c>
    </row>
    <row r="588" spans="1:10" ht="16.5" x14ac:dyDescent="0.3">
      <c r="A588">
        <v>588</v>
      </c>
      <c r="B588" s="27" t="s">
        <v>205</v>
      </c>
      <c r="C588" s="50">
        <v>63613204304</v>
      </c>
      <c r="D588" s="50">
        <v>58695</v>
      </c>
      <c r="E588" s="65">
        <v>44772</v>
      </c>
      <c r="F588" s="66">
        <v>661.55</v>
      </c>
      <c r="G588" s="32" t="s">
        <v>282</v>
      </c>
      <c r="H588" s="21" t="s">
        <v>464</v>
      </c>
      <c r="I588" s="83">
        <v>45960</v>
      </c>
      <c r="J588" s="31" t="str">
        <f t="shared" si="9"/>
        <v>58695 44772</v>
      </c>
    </row>
    <row r="589" spans="1:10" ht="16.5" x14ac:dyDescent="0.3">
      <c r="A589">
        <v>589</v>
      </c>
      <c r="B589" s="27" t="s">
        <v>205</v>
      </c>
      <c r="C589" s="50">
        <v>63613204304</v>
      </c>
      <c r="D589" s="50">
        <v>58696</v>
      </c>
      <c r="E589" s="65">
        <v>44772</v>
      </c>
      <c r="F589" s="66">
        <v>161.61000000000001</v>
      </c>
      <c r="G589" s="32" t="s">
        <v>282</v>
      </c>
      <c r="H589" s="21" t="s">
        <v>464</v>
      </c>
      <c r="I589" s="83">
        <v>45960</v>
      </c>
      <c r="J589" s="31" t="str">
        <f t="shared" si="9"/>
        <v>58696 44772</v>
      </c>
    </row>
    <row r="590" spans="1:10" ht="16.5" x14ac:dyDescent="0.3">
      <c r="A590">
        <v>590</v>
      </c>
      <c r="B590" s="27" t="s">
        <v>205</v>
      </c>
      <c r="C590" s="50">
        <v>64420183349</v>
      </c>
      <c r="D590" s="50">
        <v>68433</v>
      </c>
      <c r="E590" s="65">
        <v>45076</v>
      </c>
      <c r="F590" s="66">
        <v>207.58</v>
      </c>
      <c r="G590" s="32" t="s">
        <v>282</v>
      </c>
      <c r="H590" s="21" t="s">
        <v>464</v>
      </c>
      <c r="I590" s="83">
        <v>45960</v>
      </c>
      <c r="J590" s="31" t="str">
        <f t="shared" si="9"/>
        <v>68433 45076</v>
      </c>
    </row>
    <row r="591" spans="1:10" ht="16.5" x14ac:dyDescent="0.3">
      <c r="A591">
        <v>591</v>
      </c>
      <c r="B591" s="27" t="s">
        <v>205</v>
      </c>
      <c r="C591" s="50">
        <v>64420183349</v>
      </c>
      <c r="D591" s="50">
        <v>68433</v>
      </c>
      <c r="E591" s="65">
        <v>45046</v>
      </c>
      <c r="F591" s="66">
        <v>203.12</v>
      </c>
      <c r="G591" s="32" t="s">
        <v>282</v>
      </c>
      <c r="H591" s="21" t="s">
        <v>464</v>
      </c>
      <c r="I591" s="83">
        <v>45960</v>
      </c>
      <c r="J591" s="31" t="str">
        <f t="shared" si="9"/>
        <v>68433 45046</v>
      </c>
    </row>
    <row r="592" spans="1:10" ht="16.5" x14ac:dyDescent="0.3">
      <c r="A592">
        <v>592</v>
      </c>
      <c r="B592" s="27" t="s">
        <v>205</v>
      </c>
      <c r="C592" s="50">
        <v>65013239320</v>
      </c>
      <c r="D592" s="50">
        <v>68751</v>
      </c>
      <c r="E592" s="65">
        <v>45107</v>
      </c>
      <c r="F592" s="66">
        <v>203.12</v>
      </c>
      <c r="G592" s="32" t="s">
        <v>282</v>
      </c>
      <c r="H592" s="21" t="s">
        <v>118</v>
      </c>
      <c r="I592" s="32" t="s">
        <v>475</v>
      </c>
      <c r="J592" s="31" t="str">
        <f t="shared" si="9"/>
        <v>68751 45107</v>
      </c>
    </row>
    <row r="593" spans="1:10" ht="16.5" x14ac:dyDescent="0.3">
      <c r="A593">
        <v>593</v>
      </c>
      <c r="B593" s="27" t="s">
        <v>205</v>
      </c>
      <c r="C593" s="50">
        <v>65056582387</v>
      </c>
      <c r="D593" s="50">
        <v>26716</v>
      </c>
      <c r="E593" s="65">
        <v>44995</v>
      </c>
      <c r="F593" s="66">
        <v>229.62</v>
      </c>
      <c r="G593" s="32" t="s">
        <v>282</v>
      </c>
      <c r="H593" s="21" t="s">
        <v>464</v>
      </c>
      <c r="I593" s="83">
        <v>45960</v>
      </c>
      <c r="J593" s="31" t="str">
        <f t="shared" si="9"/>
        <v>26716 44995</v>
      </c>
    </row>
    <row r="594" spans="1:10" ht="16.5" x14ac:dyDescent="0.3">
      <c r="A594">
        <v>594</v>
      </c>
      <c r="B594" s="27" t="s">
        <v>205</v>
      </c>
      <c r="C594" s="50">
        <v>65056582387</v>
      </c>
      <c r="D594" s="50">
        <v>26716</v>
      </c>
      <c r="E594" s="65">
        <v>45026</v>
      </c>
      <c r="F594" s="66">
        <v>265.20999999999998</v>
      </c>
      <c r="G594" s="32" t="s">
        <v>282</v>
      </c>
      <c r="H594" s="21" t="s">
        <v>464</v>
      </c>
      <c r="I594" s="83">
        <v>45960</v>
      </c>
      <c r="J594" s="31" t="str">
        <f t="shared" si="9"/>
        <v>26716 45026</v>
      </c>
    </row>
    <row r="595" spans="1:10" ht="16.5" x14ac:dyDescent="0.3">
      <c r="A595">
        <v>595</v>
      </c>
      <c r="B595" s="27" t="s">
        <v>205</v>
      </c>
      <c r="C595" s="50">
        <v>65134931372</v>
      </c>
      <c r="D595" s="50">
        <v>37784</v>
      </c>
      <c r="E595" s="65">
        <v>44530</v>
      </c>
      <c r="F595" s="66">
        <v>161.44999999999999</v>
      </c>
      <c r="G595" s="32" t="s">
        <v>282</v>
      </c>
      <c r="H595" s="21" t="s">
        <v>464</v>
      </c>
      <c r="I595" s="83">
        <v>45960</v>
      </c>
      <c r="J595" s="31" t="str">
        <f t="shared" si="9"/>
        <v>37784 44530</v>
      </c>
    </row>
    <row r="596" spans="1:10" ht="16.5" x14ac:dyDescent="0.3">
      <c r="A596">
        <v>596</v>
      </c>
      <c r="B596" s="27" t="s">
        <v>205</v>
      </c>
      <c r="C596" s="50">
        <v>65821041368</v>
      </c>
      <c r="D596" s="50">
        <v>33416</v>
      </c>
      <c r="E596" s="65">
        <v>45137</v>
      </c>
      <c r="F596" s="66">
        <v>592.36</v>
      </c>
      <c r="G596" s="32" t="s">
        <v>282</v>
      </c>
      <c r="H596" s="21" t="s">
        <v>464</v>
      </c>
      <c r="I596" s="83">
        <v>45960</v>
      </c>
      <c r="J596" s="31" t="str">
        <f t="shared" si="9"/>
        <v>33416 45137</v>
      </c>
    </row>
    <row r="597" spans="1:10" ht="16.5" x14ac:dyDescent="0.3">
      <c r="A597">
        <v>597</v>
      </c>
      <c r="B597" s="27" t="s">
        <v>205</v>
      </c>
      <c r="C597" s="50">
        <v>66658829349</v>
      </c>
      <c r="D597" s="50">
        <v>29082</v>
      </c>
      <c r="E597" s="65">
        <v>44757</v>
      </c>
      <c r="F597" s="66">
        <v>12.49</v>
      </c>
      <c r="G597" s="32" t="s">
        <v>282</v>
      </c>
      <c r="H597" s="21" t="s">
        <v>464</v>
      </c>
      <c r="I597" s="83">
        <v>45960</v>
      </c>
      <c r="J597" s="31" t="str">
        <f t="shared" si="9"/>
        <v>29082 44757</v>
      </c>
    </row>
    <row r="598" spans="1:10" ht="16.5" x14ac:dyDescent="0.3">
      <c r="A598">
        <v>598</v>
      </c>
      <c r="B598" s="27" t="s">
        <v>205</v>
      </c>
      <c r="C598" s="50">
        <v>67119530372</v>
      </c>
      <c r="D598" s="50">
        <v>46628</v>
      </c>
      <c r="E598" s="65">
        <v>45158</v>
      </c>
      <c r="F598" s="66">
        <v>281.5</v>
      </c>
      <c r="G598" s="32" t="s">
        <v>282</v>
      </c>
      <c r="H598" s="21" t="s">
        <v>464</v>
      </c>
      <c r="I598" s="83">
        <v>45960</v>
      </c>
      <c r="J598" s="31" t="str">
        <f t="shared" si="9"/>
        <v>46628 45158</v>
      </c>
    </row>
    <row r="599" spans="1:10" ht="16.5" x14ac:dyDescent="0.3">
      <c r="A599">
        <v>599</v>
      </c>
      <c r="B599" s="27" t="s">
        <v>205</v>
      </c>
      <c r="C599" s="50">
        <v>67197191300</v>
      </c>
      <c r="D599" s="50">
        <v>68998</v>
      </c>
      <c r="E599" s="65">
        <v>45290</v>
      </c>
      <c r="F599" s="66">
        <v>36</v>
      </c>
      <c r="G599" s="32" t="s">
        <v>282</v>
      </c>
      <c r="H599" s="21" t="s">
        <v>464</v>
      </c>
      <c r="I599" s="83">
        <v>45960</v>
      </c>
      <c r="J599" s="31" t="str">
        <f t="shared" si="9"/>
        <v>68998 45290</v>
      </c>
    </row>
    <row r="600" spans="1:10" ht="16.5" x14ac:dyDescent="0.3">
      <c r="A600">
        <v>600</v>
      </c>
      <c r="B600" s="27" t="s">
        <v>205</v>
      </c>
      <c r="C600" s="50">
        <v>67197191300</v>
      </c>
      <c r="D600" s="50">
        <v>68998</v>
      </c>
      <c r="E600" s="65">
        <v>45260</v>
      </c>
      <c r="F600" s="66">
        <v>223.89</v>
      </c>
      <c r="G600" s="32" t="s">
        <v>282</v>
      </c>
      <c r="H600" s="21" t="s">
        <v>464</v>
      </c>
      <c r="I600" s="83">
        <v>45960</v>
      </c>
      <c r="J600" s="31" t="str">
        <f t="shared" si="9"/>
        <v>68998 45260</v>
      </c>
    </row>
    <row r="601" spans="1:10" ht="16.5" x14ac:dyDescent="0.3">
      <c r="A601">
        <v>601</v>
      </c>
      <c r="B601" s="27" t="s">
        <v>205</v>
      </c>
      <c r="C601" s="50">
        <v>67197191300</v>
      </c>
      <c r="D601" s="50">
        <v>68998</v>
      </c>
      <c r="E601" s="65">
        <v>45229</v>
      </c>
      <c r="F601" s="66">
        <v>204.22</v>
      </c>
      <c r="G601" s="32" t="s">
        <v>282</v>
      </c>
      <c r="H601" s="21" t="s">
        <v>464</v>
      </c>
      <c r="I601" s="83">
        <v>45960</v>
      </c>
      <c r="J601" s="31" t="str">
        <f t="shared" si="9"/>
        <v>68998 45229</v>
      </c>
    </row>
    <row r="602" spans="1:10" ht="16.5" x14ac:dyDescent="0.3">
      <c r="A602">
        <v>602</v>
      </c>
      <c r="B602" s="27" t="s">
        <v>205</v>
      </c>
      <c r="C602" s="50">
        <v>67662951200</v>
      </c>
      <c r="D602" s="50">
        <v>44395</v>
      </c>
      <c r="E602" s="65">
        <v>45097</v>
      </c>
      <c r="F602" s="66">
        <v>36.270000000000003</v>
      </c>
      <c r="G602" s="32" t="s">
        <v>282</v>
      </c>
      <c r="H602" s="21" t="s">
        <v>464</v>
      </c>
      <c r="I602" s="83">
        <v>45960</v>
      </c>
      <c r="J602" s="31" t="str">
        <f t="shared" si="9"/>
        <v>44395 45097</v>
      </c>
    </row>
    <row r="603" spans="1:10" ht="16.5" x14ac:dyDescent="0.3">
      <c r="A603">
        <v>603</v>
      </c>
      <c r="B603" s="27" t="s">
        <v>205</v>
      </c>
      <c r="C603" s="50">
        <v>70402361334</v>
      </c>
      <c r="D603" s="50">
        <v>37324</v>
      </c>
      <c r="E603" s="65">
        <v>45148</v>
      </c>
      <c r="F603" s="66">
        <v>7.65</v>
      </c>
      <c r="G603" s="32" t="s">
        <v>282</v>
      </c>
      <c r="H603" s="21" t="s">
        <v>118</v>
      </c>
      <c r="I603" s="32" t="s">
        <v>475</v>
      </c>
      <c r="J603" s="31" t="str">
        <f t="shared" si="9"/>
        <v>37324 45148</v>
      </c>
    </row>
    <row r="604" spans="1:10" ht="16.5" x14ac:dyDescent="0.3">
      <c r="A604">
        <v>604</v>
      </c>
      <c r="B604" s="27" t="s">
        <v>205</v>
      </c>
      <c r="C604" s="50">
        <v>70402361334</v>
      </c>
      <c r="D604" s="50">
        <v>37324</v>
      </c>
      <c r="E604" s="65">
        <v>45117</v>
      </c>
      <c r="F604" s="66">
        <v>174.2</v>
      </c>
      <c r="G604" s="32" t="s">
        <v>282</v>
      </c>
      <c r="H604" s="21" t="s">
        <v>464</v>
      </c>
      <c r="I604" s="83">
        <v>45960</v>
      </c>
      <c r="J604" s="31" t="str">
        <f t="shared" si="9"/>
        <v>37324 45117</v>
      </c>
    </row>
    <row r="605" spans="1:10" ht="16.5" x14ac:dyDescent="0.3">
      <c r="A605">
        <v>605</v>
      </c>
      <c r="B605" s="27" t="s">
        <v>205</v>
      </c>
      <c r="C605" s="50">
        <v>70402361334</v>
      </c>
      <c r="D605" s="50">
        <v>37323</v>
      </c>
      <c r="E605" s="65">
        <v>45117</v>
      </c>
      <c r="F605" s="66">
        <v>165.2</v>
      </c>
      <c r="G605" s="32" t="s">
        <v>282</v>
      </c>
      <c r="H605" s="21" t="s">
        <v>464</v>
      </c>
      <c r="I605" s="83">
        <v>45960</v>
      </c>
      <c r="J605" s="31" t="str">
        <f t="shared" si="9"/>
        <v>37323 45117</v>
      </c>
    </row>
    <row r="606" spans="1:10" ht="16.5" x14ac:dyDescent="0.3">
      <c r="A606">
        <v>606</v>
      </c>
      <c r="B606" s="27" t="s">
        <v>205</v>
      </c>
      <c r="C606" s="50">
        <v>70402361334</v>
      </c>
      <c r="D606" s="50">
        <v>37324</v>
      </c>
      <c r="E606" s="65">
        <v>45087</v>
      </c>
      <c r="F606" s="66">
        <v>165.2</v>
      </c>
      <c r="G606" s="32" t="s">
        <v>282</v>
      </c>
      <c r="H606" s="21" t="s">
        <v>464</v>
      </c>
      <c r="I606" s="83">
        <v>45960</v>
      </c>
      <c r="J606" s="31" t="str">
        <f t="shared" si="9"/>
        <v>37324 45087</v>
      </c>
    </row>
    <row r="607" spans="1:10" ht="16.5" x14ac:dyDescent="0.3">
      <c r="A607">
        <v>607</v>
      </c>
      <c r="B607" s="27" t="s">
        <v>205</v>
      </c>
      <c r="C607" s="50">
        <v>70402361334</v>
      </c>
      <c r="D607" s="50">
        <v>37323</v>
      </c>
      <c r="E607" s="65">
        <v>45087</v>
      </c>
      <c r="F607" s="66">
        <v>165.2</v>
      </c>
      <c r="G607" s="32" t="s">
        <v>282</v>
      </c>
      <c r="H607" s="21" t="s">
        <v>464</v>
      </c>
      <c r="I607" s="83">
        <v>45960</v>
      </c>
      <c r="J607" s="31" t="str">
        <f t="shared" si="9"/>
        <v>37323 45087</v>
      </c>
    </row>
    <row r="608" spans="1:10" ht="16.5" x14ac:dyDescent="0.3">
      <c r="A608">
        <v>608</v>
      </c>
      <c r="B608" s="27" t="s">
        <v>205</v>
      </c>
      <c r="C608" s="50">
        <v>70402361334</v>
      </c>
      <c r="D608" s="50">
        <v>37314</v>
      </c>
      <c r="E608" s="65">
        <v>44941</v>
      </c>
      <c r="F608" s="66">
        <v>639.22</v>
      </c>
      <c r="G608" s="32" t="s">
        <v>282</v>
      </c>
      <c r="H608" s="21" t="s">
        <v>464</v>
      </c>
      <c r="I608" s="83">
        <v>45960</v>
      </c>
      <c r="J608" s="31" t="str">
        <f t="shared" si="9"/>
        <v>37314 44941</v>
      </c>
    </row>
    <row r="609" spans="1:10" ht="16.5" x14ac:dyDescent="0.3">
      <c r="A609">
        <v>609</v>
      </c>
      <c r="B609" s="27" t="s">
        <v>205</v>
      </c>
      <c r="C609" s="50">
        <v>70402361334</v>
      </c>
      <c r="D609" s="50">
        <v>37314</v>
      </c>
      <c r="E609" s="65">
        <v>44972</v>
      </c>
      <c r="F609" s="66">
        <v>625.72</v>
      </c>
      <c r="G609" s="32" t="s">
        <v>282</v>
      </c>
      <c r="H609" s="21" t="s">
        <v>464</v>
      </c>
      <c r="I609" s="83">
        <v>45960</v>
      </c>
      <c r="J609" s="31" t="str">
        <f t="shared" si="9"/>
        <v>37314 44972</v>
      </c>
    </row>
    <row r="610" spans="1:10" ht="16.5" x14ac:dyDescent="0.3">
      <c r="A610">
        <v>610</v>
      </c>
      <c r="B610" s="27" t="s">
        <v>205</v>
      </c>
      <c r="C610" s="50">
        <v>70402361334</v>
      </c>
      <c r="D610" s="50">
        <v>37314</v>
      </c>
      <c r="E610" s="65">
        <v>45000</v>
      </c>
      <c r="F610" s="66">
        <v>8.4</v>
      </c>
      <c r="G610" s="32" t="s">
        <v>282</v>
      </c>
      <c r="H610" s="21" t="s">
        <v>464</v>
      </c>
      <c r="I610" s="83">
        <v>45960</v>
      </c>
      <c r="J610" s="31" t="str">
        <f t="shared" si="9"/>
        <v>37314 45000</v>
      </c>
    </row>
    <row r="611" spans="1:10" ht="16.5" x14ac:dyDescent="0.3">
      <c r="A611">
        <v>611</v>
      </c>
      <c r="B611" s="27" t="s">
        <v>205</v>
      </c>
      <c r="C611" s="50">
        <v>70472956159</v>
      </c>
      <c r="D611" s="50">
        <v>71260</v>
      </c>
      <c r="E611" s="65">
        <v>44793</v>
      </c>
      <c r="F611" s="66">
        <v>246.38</v>
      </c>
      <c r="G611" s="32" t="s">
        <v>282</v>
      </c>
      <c r="H611" s="21" t="s">
        <v>464</v>
      </c>
      <c r="I611" s="83">
        <v>45960</v>
      </c>
      <c r="J611" s="31" t="str">
        <f t="shared" si="9"/>
        <v>71260 44793</v>
      </c>
    </row>
    <row r="612" spans="1:10" ht="16.5" x14ac:dyDescent="0.3">
      <c r="A612">
        <v>612</v>
      </c>
      <c r="B612" s="27" t="s">
        <v>205</v>
      </c>
      <c r="C612" s="50">
        <v>70472956159</v>
      </c>
      <c r="D612" s="50">
        <v>71260</v>
      </c>
      <c r="E612" s="65">
        <v>44762</v>
      </c>
      <c r="F612" s="66">
        <v>246.38</v>
      </c>
      <c r="G612" s="32" t="s">
        <v>282</v>
      </c>
      <c r="H612" s="21" t="s">
        <v>464</v>
      </c>
      <c r="I612" s="83">
        <v>45960</v>
      </c>
      <c r="J612" s="31" t="str">
        <f t="shared" si="9"/>
        <v>71260 44762</v>
      </c>
    </row>
    <row r="613" spans="1:10" ht="16.5" x14ac:dyDescent="0.3">
      <c r="A613">
        <v>613</v>
      </c>
      <c r="B613" s="27" t="s">
        <v>205</v>
      </c>
      <c r="C613" s="50">
        <v>70885117387</v>
      </c>
      <c r="D613" s="50">
        <v>48463</v>
      </c>
      <c r="E613" s="65">
        <v>45371</v>
      </c>
      <c r="F613" s="66">
        <v>54.89</v>
      </c>
      <c r="G613" s="32" t="s">
        <v>282</v>
      </c>
      <c r="H613" s="21" t="s">
        <v>464</v>
      </c>
      <c r="I613" s="83">
        <v>45960</v>
      </c>
      <c r="J613" s="31" t="str">
        <f t="shared" si="9"/>
        <v>48463 45371</v>
      </c>
    </row>
    <row r="614" spans="1:10" ht="16.5" x14ac:dyDescent="0.3">
      <c r="A614">
        <v>614</v>
      </c>
      <c r="B614" s="27" t="s">
        <v>205</v>
      </c>
      <c r="C614" s="50">
        <v>70885117387</v>
      </c>
      <c r="D614" s="50">
        <v>48463</v>
      </c>
      <c r="E614" s="65">
        <v>45342</v>
      </c>
      <c r="F614" s="66">
        <v>307.87</v>
      </c>
      <c r="G614" s="32" t="s">
        <v>282</v>
      </c>
      <c r="H614" s="21" t="s">
        <v>464</v>
      </c>
      <c r="I614" s="83">
        <v>45960</v>
      </c>
      <c r="J614" s="31" t="str">
        <f t="shared" si="9"/>
        <v>48463 45342</v>
      </c>
    </row>
    <row r="615" spans="1:10" ht="16.5" x14ac:dyDescent="0.3">
      <c r="A615">
        <v>615</v>
      </c>
      <c r="B615" s="27" t="s">
        <v>205</v>
      </c>
      <c r="C615" s="50">
        <v>70885117387</v>
      </c>
      <c r="D615" s="50">
        <v>48463</v>
      </c>
      <c r="E615" s="65">
        <v>45311</v>
      </c>
      <c r="F615" s="66">
        <v>298.94</v>
      </c>
      <c r="G615" s="32" t="s">
        <v>282</v>
      </c>
      <c r="H615" s="21" t="s">
        <v>464</v>
      </c>
      <c r="I615" s="83">
        <v>45960</v>
      </c>
      <c r="J615" s="31" t="str">
        <f t="shared" si="9"/>
        <v>48463 45311</v>
      </c>
    </row>
    <row r="616" spans="1:10" ht="16.5" x14ac:dyDescent="0.3">
      <c r="A616">
        <v>616</v>
      </c>
      <c r="B616" s="27" t="s">
        <v>205</v>
      </c>
      <c r="C616" s="50">
        <v>71288333234</v>
      </c>
      <c r="D616" s="50">
        <v>69126</v>
      </c>
      <c r="E616" s="65">
        <v>44783</v>
      </c>
      <c r="F616" s="66">
        <v>97.25</v>
      </c>
      <c r="G616" s="32" t="s">
        <v>282</v>
      </c>
      <c r="H616" t="s">
        <v>464</v>
      </c>
      <c r="I616" s="83">
        <v>45960</v>
      </c>
      <c r="J616" s="31" t="str">
        <f t="shared" si="9"/>
        <v>69126 44783</v>
      </c>
    </row>
    <row r="617" spans="1:10" ht="16.5" x14ac:dyDescent="0.3">
      <c r="A617">
        <v>617</v>
      </c>
      <c r="B617" s="27" t="s">
        <v>205</v>
      </c>
      <c r="C617" s="50">
        <v>71679723391</v>
      </c>
      <c r="D617" s="50">
        <v>47159</v>
      </c>
      <c r="E617" s="65">
        <v>44661</v>
      </c>
      <c r="F617" s="66">
        <v>41.85</v>
      </c>
      <c r="G617" s="32" t="s">
        <v>282</v>
      </c>
      <c r="H617" t="s">
        <v>464</v>
      </c>
      <c r="I617" s="83">
        <v>45960</v>
      </c>
      <c r="J617" s="31" t="str">
        <f t="shared" si="9"/>
        <v>47159 44661</v>
      </c>
    </row>
    <row r="618" spans="1:10" ht="16.5" x14ac:dyDescent="0.3">
      <c r="A618">
        <v>618</v>
      </c>
      <c r="B618" s="27" t="s">
        <v>205</v>
      </c>
      <c r="C618" s="50">
        <v>71679723391</v>
      </c>
      <c r="D618" s="50">
        <v>47159</v>
      </c>
      <c r="E618" s="65">
        <v>44540</v>
      </c>
      <c r="F618" s="66">
        <v>8.4</v>
      </c>
      <c r="G618" s="32" t="s">
        <v>282</v>
      </c>
      <c r="H618" t="s">
        <v>464</v>
      </c>
      <c r="I618" s="83">
        <v>45960</v>
      </c>
      <c r="J618" s="31" t="str">
        <f t="shared" si="9"/>
        <v>47159 44540</v>
      </c>
    </row>
    <row r="619" spans="1:10" ht="16.5" x14ac:dyDescent="0.3">
      <c r="A619">
        <v>619</v>
      </c>
      <c r="B619" s="27" t="s">
        <v>205</v>
      </c>
      <c r="C619" s="50">
        <v>71679723391</v>
      </c>
      <c r="D619" s="50">
        <v>47159</v>
      </c>
      <c r="E619" s="65">
        <v>44479</v>
      </c>
      <c r="F619" s="66">
        <v>154.47</v>
      </c>
      <c r="G619" s="32" t="s">
        <v>282</v>
      </c>
      <c r="H619" t="s">
        <v>464</v>
      </c>
      <c r="I619" s="83">
        <v>45960</v>
      </c>
      <c r="J619" s="31" t="str">
        <f t="shared" si="9"/>
        <v>47159 44479</v>
      </c>
    </row>
    <row r="620" spans="1:10" ht="16.5" x14ac:dyDescent="0.3">
      <c r="A620">
        <v>620</v>
      </c>
      <c r="B620" s="27" t="s">
        <v>205</v>
      </c>
      <c r="C620" s="50">
        <v>71679723391</v>
      </c>
      <c r="D620" s="50">
        <v>47158</v>
      </c>
      <c r="E620" s="65">
        <v>44479</v>
      </c>
      <c r="F620" s="66">
        <v>154.47</v>
      </c>
      <c r="G620" s="32" t="s">
        <v>282</v>
      </c>
      <c r="H620" t="s">
        <v>464</v>
      </c>
      <c r="I620" s="83">
        <v>45960</v>
      </c>
      <c r="J620" s="31" t="str">
        <f t="shared" si="9"/>
        <v>47158 44479</v>
      </c>
    </row>
    <row r="621" spans="1:10" ht="16.5" x14ac:dyDescent="0.3">
      <c r="A621">
        <v>621</v>
      </c>
      <c r="B621" s="27" t="s">
        <v>205</v>
      </c>
      <c r="C621" s="50">
        <v>72462450904</v>
      </c>
      <c r="D621" s="50">
        <v>68869</v>
      </c>
      <c r="E621" s="65">
        <v>45250</v>
      </c>
      <c r="F621" s="66">
        <v>24.28</v>
      </c>
      <c r="G621" s="32" t="s">
        <v>282</v>
      </c>
      <c r="H621" t="s">
        <v>464</v>
      </c>
      <c r="I621" s="83">
        <v>45960</v>
      </c>
      <c r="J621" s="31" t="str">
        <f t="shared" si="9"/>
        <v>68869 45250</v>
      </c>
    </row>
    <row r="622" spans="1:10" ht="16.5" x14ac:dyDescent="0.3">
      <c r="A622">
        <v>622</v>
      </c>
      <c r="B622" s="27" t="s">
        <v>205</v>
      </c>
      <c r="C622" s="50">
        <v>72462450904</v>
      </c>
      <c r="D622" s="50">
        <v>68869</v>
      </c>
      <c r="E622" s="65">
        <v>45189</v>
      </c>
      <c r="F622" s="66">
        <v>67.67</v>
      </c>
      <c r="G622" s="32" t="s">
        <v>282</v>
      </c>
      <c r="H622" t="s">
        <v>464</v>
      </c>
      <c r="I622" s="83">
        <v>45960</v>
      </c>
      <c r="J622" s="31" t="str">
        <f t="shared" si="9"/>
        <v>68869 45189</v>
      </c>
    </row>
    <row r="623" spans="1:10" ht="16.5" x14ac:dyDescent="0.3">
      <c r="A623">
        <v>623</v>
      </c>
      <c r="B623" s="27" t="s">
        <v>205</v>
      </c>
      <c r="C623" s="50">
        <v>72593202300</v>
      </c>
      <c r="D623" s="50">
        <v>70859</v>
      </c>
      <c r="E623" s="65">
        <v>44854</v>
      </c>
      <c r="F623" s="66">
        <v>344.58</v>
      </c>
      <c r="G623" s="32" t="s">
        <v>282</v>
      </c>
      <c r="H623" t="s">
        <v>464</v>
      </c>
      <c r="I623" s="83">
        <v>45960</v>
      </c>
      <c r="J623" s="31" t="str">
        <f t="shared" si="9"/>
        <v>70859 44854</v>
      </c>
    </row>
    <row r="624" spans="1:10" ht="16.5" x14ac:dyDescent="0.3">
      <c r="A624">
        <v>624</v>
      </c>
      <c r="B624" s="27" t="s">
        <v>205</v>
      </c>
      <c r="C624" s="50">
        <v>72593202300</v>
      </c>
      <c r="D624" s="50">
        <v>70859</v>
      </c>
      <c r="E624" s="65">
        <v>44824</v>
      </c>
      <c r="F624" s="66">
        <v>367.28</v>
      </c>
      <c r="G624" s="32" t="s">
        <v>282</v>
      </c>
      <c r="H624" t="s">
        <v>464</v>
      </c>
      <c r="I624" s="83">
        <v>45960</v>
      </c>
      <c r="J624" s="31" t="str">
        <f t="shared" si="9"/>
        <v>70859 44824</v>
      </c>
    </row>
    <row r="625" spans="1:10" ht="16.5" x14ac:dyDescent="0.3">
      <c r="A625">
        <v>625</v>
      </c>
      <c r="B625" s="27" t="s">
        <v>205</v>
      </c>
      <c r="C625" s="50">
        <v>72593202300</v>
      </c>
      <c r="D625" s="50">
        <v>70859</v>
      </c>
      <c r="E625" s="65">
        <v>44915</v>
      </c>
      <c r="F625" s="66">
        <v>18.16</v>
      </c>
      <c r="G625" s="32" t="s">
        <v>282</v>
      </c>
      <c r="H625" t="s">
        <v>464</v>
      </c>
      <c r="I625" s="83">
        <v>45960</v>
      </c>
      <c r="J625" s="31" t="str">
        <f t="shared" si="9"/>
        <v>70859 44915</v>
      </c>
    </row>
    <row r="626" spans="1:10" ht="16.5" x14ac:dyDescent="0.3">
      <c r="A626">
        <v>626</v>
      </c>
      <c r="B626" s="27" t="s">
        <v>205</v>
      </c>
      <c r="C626" s="50">
        <v>73390348387</v>
      </c>
      <c r="D626" s="50">
        <v>70378</v>
      </c>
      <c r="E626" s="65">
        <v>45148</v>
      </c>
      <c r="F626" s="66">
        <v>203.12</v>
      </c>
      <c r="G626" s="32" t="s">
        <v>282</v>
      </c>
      <c r="H626" t="s">
        <v>464</v>
      </c>
      <c r="I626" s="83">
        <v>45960</v>
      </c>
      <c r="J626" s="31" t="str">
        <f t="shared" si="9"/>
        <v>70378 45148</v>
      </c>
    </row>
    <row r="627" spans="1:10" ht="16.5" x14ac:dyDescent="0.3">
      <c r="A627">
        <v>627</v>
      </c>
      <c r="B627" s="27" t="s">
        <v>205</v>
      </c>
      <c r="C627" s="50">
        <v>74432664304</v>
      </c>
      <c r="D627" s="50">
        <v>69950</v>
      </c>
      <c r="E627" s="65">
        <v>45432</v>
      </c>
      <c r="F627" s="66">
        <v>586.17999999999995</v>
      </c>
      <c r="G627" s="32" t="s">
        <v>282</v>
      </c>
      <c r="H627" t="s">
        <v>464</v>
      </c>
      <c r="I627" s="83">
        <v>45960</v>
      </c>
      <c r="J627" s="31" t="str">
        <f t="shared" si="9"/>
        <v>69950 45432</v>
      </c>
    </row>
    <row r="628" spans="1:10" ht="16.5" x14ac:dyDescent="0.3">
      <c r="A628">
        <v>628</v>
      </c>
      <c r="B628" s="27" t="s">
        <v>205</v>
      </c>
      <c r="C628" s="50">
        <v>75082055372</v>
      </c>
      <c r="D628" s="50">
        <v>10887</v>
      </c>
      <c r="E628" s="65">
        <v>45301</v>
      </c>
      <c r="F628" s="66">
        <v>269.39999999999998</v>
      </c>
      <c r="G628" s="32" t="s">
        <v>282</v>
      </c>
      <c r="H628" t="s">
        <v>464</v>
      </c>
      <c r="I628" s="83">
        <v>45960</v>
      </c>
      <c r="J628" s="31" t="str">
        <f t="shared" si="9"/>
        <v>10887 45301</v>
      </c>
    </row>
    <row r="629" spans="1:10" ht="16.5" x14ac:dyDescent="0.3">
      <c r="A629">
        <v>629</v>
      </c>
      <c r="B629" s="27" t="s">
        <v>205</v>
      </c>
      <c r="C629" s="50">
        <v>75082055372</v>
      </c>
      <c r="D629" s="50">
        <v>39953</v>
      </c>
      <c r="E629" s="65">
        <v>45301</v>
      </c>
      <c r="F629" s="66">
        <v>280.27</v>
      </c>
      <c r="G629" s="32" t="s">
        <v>282</v>
      </c>
      <c r="H629" t="s">
        <v>464</v>
      </c>
      <c r="I629" s="83">
        <v>45960</v>
      </c>
      <c r="J629" s="31" t="str">
        <f t="shared" si="9"/>
        <v>39953 45301</v>
      </c>
    </row>
    <row r="630" spans="1:10" ht="16.5" x14ac:dyDescent="0.3">
      <c r="A630">
        <v>630</v>
      </c>
      <c r="B630" s="27" t="s">
        <v>205</v>
      </c>
      <c r="C630" s="50">
        <v>77089537315</v>
      </c>
      <c r="D630" s="50">
        <v>38519</v>
      </c>
      <c r="E630" s="65">
        <v>44905</v>
      </c>
      <c r="F630" s="66">
        <v>8.4</v>
      </c>
      <c r="G630" s="32" t="s">
        <v>282</v>
      </c>
      <c r="H630" t="s">
        <v>464</v>
      </c>
      <c r="I630" s="83">
        <v>45960</v>
      </c>
      <c r="J630" s="31" t="str">
        <f t="shared" si="9"/>
        <v>38519 44905</v>
      </c>
    </row>
    <row r="631" spans="1:10" ht="16.5" x14ac:dyDescent="0.3">
      <c r="A631">
        <v>631</v>
      </c>
      <c r="B631" s="27" t="s">
        <v>205</v>
      </c>
      <c r="C631" s="50">
        <v>77372085349</v>
      </c>
      <c r="D631" s="50">
        <v>44983</v>
      </c>
      <c r="E631" s="65">
        <v>45127</v>
      </c>
      <c r="F631" s="66">
        <v>26.79</v>
      </c>
      <c r="G631" s="32" t="s">
        <v>282</v>
      </c>
      <c r="H631" t="s">
        <v>464</v>
      </c>
      <c r="I631" s="83">
        <v>45960</v>
      </c>
      <c r="J631" s="31" t="str">
        <f t="shared" si="9"/>
        <v>44983 45127</v>
      </c>
    </row>
    <row r="632" spans="1:10" ht="16.5" x14ac:dyDescent="0.3">
      <c r="A632">
        <v>632</v>
      </c>
      <c r="B632" s="27" t="s">
        <v>205</v>
      </c>
      <c r="C632" s="50">
        <v>77812557391</v>
      </c>
      <c r="D632" s="50">
        <v>50961</v>
      </c>
      <c r="E632" s="65">
        <v>45260</v>
      </c>
      <c r="F632" s="66">
        <v>766.43</v>
      </c>
      <c r="G632" s="32" t="s">
        <v>282</v>
      </c>
      <c r="H632" t="s">
        <v>118</v>
      </c>
      <c r="I632" s="32" t="s">
        <v>475</v>
      </c>
      <c r="J632" s="31" t="str">
        <f t="shared" si="9"/>
        <v>50961 45260</v>
      </c>
    </row>
    <row r="633" spans="1:10" ht="16.5" x14ac:dyDescent="0.3">
      <c r="A633">
        <v>633</v>
      </c>
      <c r="B633" s="27" t="s">
        <v>205</v>
      </c>
      <c r="C633" s="50">
        <v>83220445349</v>
      </c>
      <c r="D633" s="50">
        <v>71729</v>
      </c>
      <c r="E633" s="65">
        <v>45148</v>
      </c>
      <c r="F633" s="66">
        <v>53.93</v>
      </c>
      <c r="G633" s="32" t="s">
        <v>282</v>
      </c>
      <c r="H633" t="s">
        <v>118</v>
      </c>
      <c r="I633" s="32" t="s">
        <v>475</v>
      </c>
      <c r="J633" s="31" t="str">
        <f t="shared" si="9"/>
        <v>71729 45148</v>
      </c>
    </row>
    <row r="634" spans="1:10" ht="16.5" x14ac:dyDescent="0.3">
      <c r="A634">
        <v>634</v>
      </c>
      <c r="B634" s="27" t="s">
        <v>205</v>
      </c>
      <c r="C634" s="50">
        <v>83220445349</v>
      </c>
      <c r="D634" s="50">
        <v>71729</v>
      </c>
      <c r="E634" s="65">
        <v>45117</v>
      </c>
      <c r="F634" s="66">
        <v>212.7</v>
      </c>
      <c r="G634" s="32" t="s">
        <v>282</v>
      </c>
      <c r="H634" t="s">
        <v>118</v>
      </c>
      <c r="I634" s="32" t="s">
        <v>475</v>
      </c>
      <c r="J634" s="31" t="str">
        <f t="shared" si="9"/>
        <v>71729 45117</v>
      </c>
    </row>
    <row r="635" spans="1:10" ht="16.5" x14ac:dyDescent="0.3">
      <c r="A635">
        <v>635</v>
      </c>
      <c r="B635" s="27" t="s">
        <v>205</v>
      </c>
      <c r="C635" s="50">
        <v>83220445349</v>
      </c>
      <c r="D635" s="50">
        <v>71729</v>
      </c>
      <c r="E635" s="65">
        <v>45087</v>
      </c>
      <c r="F635" s="66">
        <v>752.48</v>
      </c>
      <c r="G635" s="32" t="s">
        <v>282</v>
      </c>
      <c r="H635" t="s">
        <v>118</v>
      </c>
      <c r="I635" s="32" t="s">
        <v>475</v>
      </c>
      <c r="J635" s="31" t="str">
        <f t="shared" si="9"/>
        <v>71729 45087</v>
      </c>
    </row>
    <row r="636" spans="1:10" ht="16.5" x14ac:dyDescent="0.3">
      <c r="A636">
        <v>636</v>
      </c>
      <c r="B636" s="27" t="s">
        <v>205</v>
      </c>
      <c r="C636" s="50">
        <v>83595139372</v>
      </c>
      <c r="D636" s="50">
        <v>43305</v>
      </c>
      <c r="E636" s="65">
        <v>45332</v>
      </c>
      <c r="F636" s="66">
        <v>34.659999999999997</v>
      </c>
      <c r="G636" s="32" t="s">
        <v>282</v>
      </c>
      <c r="H636" t="s">
        <v>464</v>
      </c>
      <c r="I636" s="83">
        <v>45960</v>
      </c>
      <c r="J636" s="31" t="str">
        <f t="shared" si="9"/>
        <v>43305 45332</v>
      </c>
    </row>
    <row r="637" spans="1:10" ht="16.5" x14ac:dyDescent="0.3">
      <c r="A637">
        <v>637</v>
      </c>
      <c r="B637" s="27" t="s">
        <v>205</v>
      </c>
      <c r="C637" s="50">
        <v>83836004372</v>
      </c>
      <c r="D637" s="50">
        <v>61673</v>
      </c>
      <c r="E637" s="65">
        <v>45290</v>
      </c>
      <c r="F637" s="66">
        <v>350.53</v>
      </c>
      <c r="G637" s="32" t="s">
        <v>282</v>
      </c>
      <c r="H637" t="s">
        <v>464</v>
      </c>
      <c r="I637" s="83">
        <v>45960</v>
      </c>
      <c r="J637" s="31" t="str">
        <f t="shared" si="9"/>
        <v>61673 45290</v>
      </c>
    </row>
    <row r="638" spans="1:10" ht="16.5" x14ac:dyDescent="0.3">
      <c r="A638">
        <v>638</v>
      </c>
      <c r="B638" s="27" t="s">
        <v>205</v>
      </c>
      <c r="C638" s="50">
        <v>83867678120</v>
      </c>
      <c r="D638" s="50">
        <v>46677</v>
      </c>
      <c r="E638" s="65">
        <v>45219</v>
      </c>
      <c r="F638" s="66">
        <v>286.11</v>
      </c>
      <c r="G638" s="32" t="s">
        <v>282</v>
      </c>
      <c r="H638" t="s">
        <v>464</v>
      </c>
      <c r="I638" s="83">
        <v>45960</v>
      </c>
      <c r="J638" s="31" t="str">
        <f t="shared" si="9"/>
        <v>46677 45219</v>
      </c>
    </row>
    <row r="639" spans="1:10" ht="16.5" x14ac:dyDescent="0.3">
      <c r="A639">
        <v>639</v>
      </c>
      <c r="B639" s="27" t="s">
        <v>205</v>
      </c>
      <c r="C639" s="50">
        <v>83867678120</v>
      </c>
      <c r="D639" s="50">
        <v>46677</v>
      </c>
      <c r="E639" s="65">
        <v>45189</v>
      </c>
      <c r="F639" s="66">
        <v>316.11</v>
      </c>
      <c r="G639" s="32" t="s">
        <v>282</v>
      </c>
      <c r="H639" t="s">
        <v>464</v>
      </c>
      <c r="I639" s="83">
        <v>45960</v>
      </c>
      <c r="J639" s="31" t="str">
        <f t="shared" si="9"/>
        <v>46677 45189</v>
      </c>
    </row>
    <row r="640" spans="1:10" ht="16.5" x14ac:dyDescent="0.3">
      <c r="A640">
        <v>640</v>
      </c>
      <c r="B640" s="27" t="s">
        <v>205</v>
      </c>
      <c r="C640" s="50">
        <v>83867678120</v>
      </c>
      <c r="D640" s="50">
        <v>66667</v>
      </c>
      <c r="E640" s="65">
        <v>44530</v>
      </c>
      <c r="F640" s="66">
        <v>843.55</v>
      </c>
      <c r="G640" s="32" t="s">
        <v>282</v>
      </c>
      <c r="H640" t="s">
        <v>464</v>
      </c>
      <c r="I640" s="83">
        <v>45960</v>
      </c>
      <c r="J640" s="31" t="str">
        <f t="shared" si="9"/>
        <v>66667 44530</v>
      </c>
    </row>
    <row r="641" spans="1:10" ht="16.5" x14ac:dyDescent="0.3">
      <c r="A641">
        <v>641</v>
      </c>
      <c r="B641" s="27" t="s">
        <v>205</v>
      </c>
      <c r="C641" s="50">
        <v>83867678120</v>
      </c>
      <c r="D641" s="50">
        <v>66667</v>
      </c>
      <c r="E641" s="65">
        <v>44560</v>
      </c>
      <c r="F641" s="66">
        <v>784.93</v>
      </c>
      <c r="G641" s="32" t="s">
        <v>282</v>
      </c>
      <c r="H641" t="s">
        <v>464</v>
      </c>
      <c r="I641" s="83">
        <v>45960</v>
      </c>
      <c r="J641" s="31" t="str">
        <f t="shared" si="9"/>
        <v>66667 44560</v>
      </c>
    </row>
    <row r="642" spans="1:10" ht="16.5" x14ac:dyDescent="0.3">
      <c r="A642">
        <v>642</v>
      </c>
      <c r="B642" s="27" t="s">
        <v>205</v>
      </c>
      <c r="C642" s="50">
        <v>84457880353</v>
      </c>
      <c r="D642" s="50">
        <v>71405</v>
      </c>
      <c r="E642" s="65">
        <v>44967</v>
      </c>
      <c r="F642" s="66">
        <v>36</v>
      </c>
      <c r="G642" s="32" t="s">
        <v>282</v>
      </c>
      <c r="H642" t="s">
        <v>464</v>
      </c>
      <c r="I642" s="83">
        <v>45960</v>
      </c>
      <c r="J642" s="31" t="str">
        <f t="shared" ref="J642:J705" si="10">_xlfn.CONCAT(D642," ",E642)</f>
        <v>71405 44967</v>
      </c>
    </row>
    <row r="643" spans="1:10" ht="16.5" x14ac:dyDescent="0.3">
      <c r="A643">
        <v>643</v>
      </c>
      <c r="B643" s="27" t="s">
        <v>205</v>
      </c>
      <c r="C643" s="50">
        <v>84933577315</v>
      </c>
      <c r="D643" s="50">
        <v>53511</v>
      </c>
      <c r="E643" s="65">
        <v>44936</v>
      </c>
      <c r="F643" s="66">
        <v>228.76</v>
      </c>
      <c r="G643" s="32" t="s">
        <v>282</v>
      </c>
      <c r="H643" t="s">
        <v>464</v>
      </c>
      <c r="I643" s="83">
        <v>45960</v>
      </c>
      <c r="J643" s="31" t="str">
        <f t="shared" si="10"/>
        <v>53511 44936</v>
      </c>
    </row>
    <row r="644" spans="1:10" ht="16.5" x14ac:dyDescent="0.3">
      <c r="A644">
        <v>644</v>
      </c>
      <c r="B644" s="27" t="s">
        <v>205</v>
      </c>
      <c r="C644" s="50">
        <v>85014850391</v>
      </c>
      <c r="D644" s="50">
        <v>49503</v>
      </c>
      <c r="E644" s="65">
        <v>45219</v>
      </c>
      <c r="F644" s="66">
        <v>242.82</v>
      </c>
      <c r="G644" s="32" t="s">
        <v>282</v>
      </c>
      <c r="H644" t="s">
        <v>464</v>
      </c>
      <c r="I644" s="83">
        <v>45960</v>
      </c>
      <c r="J644" s="31" t="str">
        <f t="shared" si="10"/>
        <v>49503 45219</v>
      </c>
    </row>
    <row r="645" spans="1:10" ht="16.5" x14ac:dyDescent="0.3">
      <c r="A645">
        <v>645</v>
      </c>
      <c r="B645" s="27" t="s">
        <v>205</v>
      </c>
      <c r="C645" s="50">
        <v>85014850391</v>
      </c>
      <c r="D645" s="50">
        <v>49503</v>
      </c>
      <c r="E645" s="65">
        <v>45189</v>
      </c>
      <c r="F645" s="66">
        <v>242.82</v>
      </c>
      <c r="G645" s="32" t="s">
        <v>282</v>
      </c>
      <c r="H645" t="s">
        <v>464</v>
      </c>
      <c r="I645" s="83">
        <v>45960</v>
      </c>
      <c r="J645" s="31" t="str">
        <f t="shared" si="10"/>
        <v>49503 45189</v>
      </c>
    </row>
    <row r="646" spans="1:10" ht="16.5" x14ac:dyDescent="0.3">
      <c r="A646">
        <v>646</v>
      </c>
      <c r="B646" s="27" t="s">
        <v>205</v>
      </c>
      <c r="C646" s="50">
        <v>85093548391</v>
      </c>
      <c r="D646" s="50">
        <v>64943</v>
      </c>
      <c r="E646" s="65">
        <v>44844</v>
      </c>
      <c r="F646" s="66">
        <v>16.03</v>
      </c>
      <c r="G646" s="32" t="s">
        <v>282</v>
      </c>
      <c r="H646" t="s">
        <v>464</v>
      </c>
      <c r="I646" s="83">
        <v>45960</v>
      </c>
      <c r="J646" s="31" t="str">
        <f t="shared" si="10"/>
        <v>64943 44844</v>
      </c>
    </row>
    <row r="647" spans="1:10" ht="16.5" x14ac:dyDescent="0.3">
      <c r="A647">
        <v>647</v>
      </c>
      <c r="B647" s="27" t="s">
        <v>205</v>
      </c>
      <c r="C647" s="50">
        <v>85612979304</v>
      </c>
      <c r="D647" s="50">
        <v>65810</v>
      </c>
      <c r="E647" s="65">
        <v>44946</v>
      </c>
      <c r="F647" s="66">
        <v>182.35</v>
      </c>
      <c r="G647" s="32" t="s">
        <v>282</v>
      </c>
      <c r="H647" t="s">
        <v>464</v>
      </c>
      <c r="I647" s="83">
        <v>45960</v>
      </c>
      <c r="J647" s="31" t="str">
        <f t="shared" si="10"/>
        <v>65810 44946</v>
      </c>
    </row>
    <row r="648" spans="1:10" ht="16.5" x14ac:dyDescent="0.3">
      <c r="A648">
        <v>648</v>
      </c>
      <c r="B648" s="27" t="s">
        <v>205</v>
      </c>
      <c r="C648" s="50">
        <v>85612979304</v>
      </c>
      <c r="D648" s="50">
        <v>65809</v>
      </c>
      <c r="E648" s="65">
        <v>44946</v>
      </c>
      <c r="F648" s="66">
        <v>182.35</v>
      </c>
      <c r="G648" s="32" t="s">
        <v>282</v>
      </c>
      <c r="H648" t="s">
        <v>464</v>
      </c>
      <c r="I648" s="83">
        <v>45960</v>
      </c>
      <c r="J648" s="31" t="str">
        <f t="shared" si="10"/>
        <v>65809 44946</v>
      </c>
    </row>
    <row r="649" spans="1:10" ht="16.5" x14ac:dyDescent="0.3">
      <c r="A649">
        <v>649</v>
      </c>
      <c r="B649" s="27" t="s">
        <v>205</v>
      </c>
      <c r="C649" s="50">
        <v>85957011134</v>
      </c>
      <c r="D649" s="50">
        <v>72168</v>
      </c>
      <c r="E649" s="65">
        <v>45381</v>
      </c>
      <c r="F649" s="66">
        <v>251.83</v>
      </c>
      <c r="G649" s="32" t="s">
        <v>282</v>
      </c>
      <c r="H649" t="s">
        <v>118</v>
      </c>
      <c r="I649" s="32" t="s">
        <v>475</v>
      </c>
      <c r="J649" s="31" t="str">
        <f t="shared" si="10"/>
        <v>72168 45381</v>
      </c>
    </row>
    <row r="650" spans="1:10" ht="16.5" x14ac:dyDescent="0.3">
      <c r="A650">
        <v>650</v>
      </c>
      <c r="B650" s="27" t="s">
        <v>205</v>
      </c>
      <c r="C650" s="50">
        <v>85957011134</v>
      </c>
      <c r="D650" s="50">
        <v>72168</v>
      </c>
      <c r="E650" s="65">
        <v>45351</v>
      </c>
      <c r="F650" s="66">
        <v>251.83</v>
      </c>
      <c r="G650" s="32" t="s">
        <v>282</v>
      </c>
      <c r="H650" t="s">
        <v>118</v>
      </c>
      <c r="I650" s="32" t="s">
        <v>475</v>
      </c>
      <c r="J650" s="31" t="str">
        <f t="shared" si="10"/>
        <v>72168 45351</v>
      </c>
    </row>
    <row r="651" spans="1:10" ht="16.5" x14ac:dyDescent="0.3">
      <c r="A651">
        <v>651</v>
      </c>
      <c r="B651" s="27" t="s">
        <v>205</v>
      </c>
      <c r="C651" s="50">
        <v>87520435253</v>
      </c>
      <c r="D651" s="50">
        <v>68352</v>
      </c>
      <c r="E651" s="65">
        <v>44793</v>
      </c>
      <c r="F651" s="66">
        <v>100.76</v>
      </c>
      <c r="G651" s="32" t="s">
        <v>282</v>
      </c>
      <c r="H651" t="s">
        <v>464</v>
      </c>
      <c r="I651" s="83">
        <v>45960</v>
      </c>
      <c r="J651" s="31" t="str">
        <f t="shared" si="10"/>
        <v>68352 44793</v>
      </c>
    </row>
    <row r="652" spans="1:10" ht="16.5" x14ac:dyDescent="0.3">
      <c r="A652">
        <v>652</v>
      </c>
      <c r="B652" s="27" t="s">
        <v>205</v>
      </c>
      <c r="C652" s="50">
        <v>87520435253</v>
      </c>
      <c r="D652" s="50">
        <v>68352</v>
      </c>
      <c r="E652" s="65">
        <v>44824</v>
      </c>
      <c r="F652" s="66">
        <v>71.86</v>
      </c>
      <c r="G652" s="32" t="s">
        <v>282</v>
      </c>
      <c r="H652" t="s">
        <v>464</v>
      </c>
      <c r="I652" s="83">
        <v>45960</v>
      </c>
      <c r="J652" s="31" t="str">
        <f t="shared" si="10"/>
        <v>68352 44824</v>
      </c>
    </row>
    <row r="653" spans="1:10" ht="16.5" x14ac:dyDescent="0.3">
      <c r="A653">
        <v>653</v>
      </c>
      <c r="B653" s="27" t="s">
        <v>205</v>
      </c>
      <c r="C653" s="50">
        <v>87520435253</v>
      </c>
      <c r="D653" s="50">
        <v>68352</v>
      </c>
      <c r="E653" s="65">
        <v>44854</v>
      </c>
      <c r="F653" s="66">
        <v>32</v>
      </c>
      <c r="G653" s="32" t="s">
        <v>282</v>
      </c>
      <c r="H653" t="s">
        <v>464</v>
      </c>
      <c r="I653" s="83">
        <v>45960</v>
      </c>
      <c r="J653" s="31" t="str">
        <f t="shared" si="10"/>
        <v>68352 44854</v>
      </c>
    </row>
    <row r="654" spans="1:10" ht="16.5" x14ac:dyDescent="0.3">
      <c r="A654">
        <v>654</v>
      </c>
      <c r="B654" s="27" t="s">
        <v>205</v>
      </c>
      <c r="C654" s="50">
        <v>88532887953</v>
      </c>
      <c r="D654" s="50">
        <v>70340</v>
      </c>
      <c r="E654" s="65">
        <v>45076</v>
      </c>
      <c r="F654" s="66">
        <v>2019.41</v>
      </c>
      <c r="G654" s="32" t="s">
        <v>282</v>
      </c>
      <c r="H654" t="s">
        <v>464</v>
      </c>
      <c r="I654" s="83">
        <v>45960</v>
      </c>
      <c r="J654" s="31" t="str">
        <f t="shared" si="10"/>
        <v>70340 45076</v>
      </c>
    </row>
    <row r="655" spans="1:10" ht="16.5" x14ac:dyDescent="0.3">
      <c r="A655">
        <v>655</v>
      </c>
      <c r="B655" s="27" t="s">
        <v>205</v>
      </c>
      <c r="C655" s="50">
        <v>88532887953</v>
      </c>
      <c r="D655" s="50">
        <v>70340</v>
      </c>
      <c r="E655" s="65">
        <v>45107</v>
      </c>
      <c r="F655" s="66">
        <v>2082.29</v>
      </c>
      <c r="G655" s="32" t="s">
        <v>282</v>
      </c>
      <c r="H655" t="s">
        <v>464</v>
      </c>
      <c r="I655" s="83">
        <v>45960</v>
      </c>
      <c r="J655" s="31" t="str">
        <f t="shared" si="10"/>
        <v>70340 45107</v>
      </c>
    </row>
    <row r="656" spans="1:10" ht="16.5" x14ac:dyDescent="0.3">
      <c r="A656">
        <v>656</v>
      </c>
      <c r="B656" s="27" t="s">
        <v>205</v>
      </c>
      <c r="C656" s="50">
        <v>89084969391</v>
      </c>
      <c r="D656" s="50">
        <v>59924</v>
      </c>
      <c r="E656" s="65">
        <v>44977</v>
      </c>
      <c r="F656" s="66">
        <v>385.4</v>
      </c>
      <c r="G656" s="32" t="s">
        <v>282</v>
      </c>
      <c r="H656" t="s">
        <v>464</v>
      </c>
      <c r="I656" s="83">
        <v>45960</v>
      </c>
      <c r="J656" s="31" t="str">
        <f t="shared" si="10"/>
        <v>59924 44977</v>
      </c>
    </row>
    <row r="657" spans="1:10" ht="16.5" x14ac:dyDescent="0.3">
      <c r="A657">
        <v>657</v>
      </c>
      <c r="B657" s="27" t="s">
        <v>205</v>
      </c>
      <c r="C657" s="50">
        <v>89979753315</v>
      </c>
      <c r="D657" s="50">
        <v>64924</v>
      </c>
      <c r="E657" s="65">
        <v>44936</v>
      </c>
      <c r="F657" s="66">
        <v>276.66000000000003</v>
      </c>
      <c r="G657" s="32" t="s">
        <v>282</v>
      </c>
      <c r="H657" t="s">
        <v>464</v>
      </c>
      <c r="I657" s="83">
        <v>45960</v>
      </c>
      <c r="J657" s="31" t="str">
        <f t="shared" si="10"/>
        <v>64924 44936</v>
      </c>
    </row>
    <row r="658" spans="1:10" ht="16.5" x14ac:dyDescent="0.3">
      <c r="A658">
        <v>658</v>
      </c>
      <c r="B658" s="27" t="s">
        <v>205</v>
      </c>
      <c r="C658" s="50">
        <v>89979753315</v>
      </c>
      <c r="D658" s="50">
        <v>64924</v>
      </c>
      <c r="E658" s="65">
        <v>44967</v>
      </c>
      <c r="F658" s="66">
        <v>276.66000000000003</v>
      </c>
      <c r="G658" s="32" t="s">
        <v>282</v>
      </c>
      <c r="H658" t="s">
        <v>464</v>
      </c>
      <c r="I658" s="83">
        <v>45960</v>
      </c>
      <c r="J658" s="31" t="str">
        <f t="shared" si="10"/>
        <v>64924 44967</v>
      </c>
    </row>
    <row r="659" spans="1:10" ht="16.5" x14ac:dyDescent="0.3">
      <c r="A659">
        <v>659</v>
      </c>
      <c r="B659" s="27" t="s">
        <v>205</v>
      </c>
      <c r="C659" s="50">
        <v>90617010315</v>
      </c>
      <c r="D659" s="50">
        <v>64830</v>
      </c>
      <c r="E659" s="65">
        <v>44530</v>
      </c>
      <c r="F659" s="66">
        <v>522.9</v>
      </c>
      <c r="G659" s="32" t="s">
        <v>282</v>
      </c>
      <c r="H659" t="s">
        <v>464</v>
      </c>
      <c r="I659" s="83">
        <v>45960</v>
      </c>
      <c r="J659" s="31" t="str">
        <f t="shared" si="10"/>
        <v>64830 44530</v>
      </c>
    </row>
    <row r="660" spans="1:10" ht="16.5" x14ac:dyDescent="0.3">
      <c r="A660">
        <v>660</v>
      </c>
      <c r="B660" s="27" t="s">
        <v>205</v>
      </c>
      <c r="C660" s="50">
        <v>90617010315</v>
      </c>
      <c r="D660" s="50">
        <v>50081</v>
      </c>
      <c r="E660" s="65">
        <v>44489</v>
      </c>
      <c r="F660" s="66">
        <v>286.19</v>
      </c>
      <c r="G660" s="32" t="s">
        <v>282</v>
      </c>
      <c r="H660" t="s">
        <v>464</v>
      </c>
      <c r="I660" s="83">
        <v>45960</v>
      </c>
      <c r="J660" s="31" t="str">
        <f t="shared" si="10"/>
        <v>50081 44489</v>
      </c>
    </row>
    <row r="661" spans="1:10" ht="16.5" x14ac:dyDescent="0.3">
      <c r="A661">
        <v>661</v>
      </c>
      <c r="B661" s="27" t="s">
        <v>205</v>
      </c>
      <c r="C661" s="50">
        <v>90617010315</v>
      </c>
      <c r="D661" s="50">
        <v>50088</v>
      </c>
      <c r="E661" s="65">
        <v>44489</v>
      </c>
      <c r="F661" s="66">
        <v>286.19</v>
      </c>
      <c r="G661" s="32" t="s">
        <v>282</v>
      </c>
      <c r="H661" t="s">
        <v>464</v>
      </c>
      <c r="I661" s="83">
        <v>45960</v>
      </c>
      <c r="J661" s="31" t="str">
        <f t="shared" si="10"/>
        <v>50088 44489</v>
      </c>
    </row>
    <row r="662" spans="1:10" ht="16.5" x14ac:dyDescent="0.3">
      <c r="A662">
        <v>662</v>
      </c>
      <c r="B662" s="27" t="s">
        <v>205</v>
      </c>
      <c r="C662" s="50">
        <v>90617010315</v>
      </c>
      <c r="D662" s="50">
        <v>50082</v>
      </c>
      <c r="E662" s="65">
        <v>44489</v>
      </c>
      <c r="F662" s="66">
        <v>286.19</v>
      </c>
      <c r="G662" s="32" t="s">
        <v>282</v>
      </c>
      <c r="H662" t="s">
        <v>464</v>
      </c>
      <c r="I662" s="83">
        <v>45960</v>
      </c>
      <c r="J662" s="31" t="str">
        <f t="shared" si="10"/>
        <v>50082 44489</v>
      </c>
    </row>
    <row r="663" spans="1:10" ht="16.5" x14ac:dyDescent="0.3">
      <c r="A663">
        <v>663</v>
      </c>
      <c r="B663" s="27" t="s">
        <v>205</v>
      </c>
      <c r="C663" s="50">
        <v>90617010315</v>
      </c>
      <c r="D663" s="50">
        <v>64830</v>
      </c>
      <c r="E663" s="65">
        <v>44560</v>
      </c>
      <c r="F663" s="66">
        <v>522.9</v>
      </c>
      <c r="G663" s="32" t="s">
        <v>282</v>
      </c>
      <c r="H663" t="s">
        <v>464</v>
      </c>
      <c r="I663" s="83">
        <v>45960</v>
      </c>
      <c r="J663" s="31" t="str">
        <f t="shared" si="10"/>
        <v>64830 44560</v>
      </c>
    </row>
    <row r="664" spans="1:10" ht="16.5" x14ac:dyDescent="0.3">
      <c r="A664">
        <v>664</v>
      </c>
      <c r="B664" s="27" t="s">
        <v>205</v>
      </c>
      <c r="C664" s="50">
        <v>90940474387</v>
      </c>
      <c r="D664" s="50">
        <v>67587</v>
      </c>
      <c r="E664" s="65">
        <v>45189</v>
      </c>
      <c r="F664" s="66">
        <v>133.44</v>
      </c>
      <c r="G664" s="32" t="s">
        <v>282</v>
      </c>
      <c r="H664" t="s">
        <v>464</v>
      </c>
      <c r="I664" s="83">
        <v>45960</v>
      </c>
      <c r="J664" s="31" t="str">
        <f t="shared" si="10"/>
        <v>67587 45189</v>
      </c>
    </row>
    <row r="665" spans="1:10" ht="16.5" x14ac:dyDescent="0.3">
      <c r="A665">
        <v>665</v>
      </c>
      <c r="B665" s="27" t="s">
        <v>205</v>
      </c>
      <c r="C665" s="50">
        <v>91090768320</v>
      </c>
      <c r="D665" s="50">
        <v>68060</v>
      </c>
      <c r="E665" s="65">
        <v>44967</v>
      </c>
      <c r="F665" s="66">
        <v>198.61</v>
      </c>
      <c r="G665" s="32" t="s">
        <v>282</v>
      </c>
      <c r="H665" t="s">
        <v>464</v>
      </c>
      <c r="I665" s="83">
        <v>45960</v>
      </c>
      <c r="J665" s="31" t="str">
        <f t="shared" si="10"/>
        <v>68060 44967</v>
      </c>
    </row>
    <row r="666" spans="1:10" ht="16.5" x14ac:dyDescent="0.3">
      <c r="A666">
        <v>666</v>
      </c>
      <c r="B666" s="27" t="s">
        <v>205</v>
      </c>
      <c r="C666" s="50">
        <v>91090768320</v>
      </c>
      <c r="D666" s="50">
        <v>68060</v>
      </c>
      <c r="E666" s="65">
        <v>44995</v>
      </c>
      <c r="F666" s="66">
        <v>198.61</v>
      </c>
      <c r="G666" s="32" t="s">
        <v>282</v>
      </c>
      <c r="H666" t="s">
        <v>464</v>
      </c>
      <c r="I666" s="83">
        <v>45960</v>
      </c>
      <c r="J666" s="31" t="str">
        <f t="shared" si="10"/>
        <v>68060 44995</v>
      </c>
    </row>
    <row r="667" spans="1:10" ht="16.5" x14ac:dyDescent="0.3">
      <c r="A667">
        <v>667</v>
      </c>
      <c r="B667" s="27" t="s">
        <v>205</v>
      </c>
      <c r="C667" s="50">
        <v>91663334315</v>
      </c>
      <c r="D667" s="50">
        <v>34107</v>
      </c>
      <c r="E667" s="65">
        <v>45285</v>
      </c>
      <c r="F667" s="66">
        <v>30.41</v>
      </c>
      <c r="G667" s="32" t="s">
        <v>282</v>
      </c>
      <c r="H667" t="s">
        <v>118</v>
      </c>
      <c r="I667" s="32" t="s">
        <v>475</v>
      </c>
      <c r="J667" s="31" t="str">
        <f t="shared" si="10"/>
        <v>34107 45285</v>
      </c>
    </row>
    <row r="668" spans="1:10" ht="16.5" x14ac:dyDescent="0.3">
      <c r="A668">
        <v>668</v>
      </c>
      <c r="B668" s="27" t="s">
        <v>205</v>
      </c>
      <c r="C668" s="50">
        <v>93393644300</v>
      </c>
      <c r="D668" s="50">
        <v>68035</v>
      </c>
      <c r="E668" s="65">
        <v>45137</v>
      </c>
      <c r="F668" s="66">
        <v>217.74</v>
      </c>
      <c r="G668" s="32" t="s">
        <v>282</v>
      </c>
      <c r="H668" t="s">
        <v>464</v>
      </c>
      <c r="I668" s="83">
        <v>45960</v>
      </c>
      <c r="J668" s="31" t="str">
        <f t="shared" si="10"/>
        <v>68035 45137</v>
      </c>
    </row>
    <row r="669" spans="1:10" ht="16.5" x14ac:dyDescent="0.3">
      <c r="A669">
        <v>669</v>
      </c>
      <c r="B669" s="27" t="s">
        <v>205</v>
      </c>
      <c r="C669" s="50">
        <v>93828977120</v>
      </c>
      <c r="D669" s="50">
        <v>69747</v>
      </c>
      <c r="E669" s="65">
        <v>45087</v>
      </c>
      <c r="F669" s="66">
        <v>16.8</v>
      </c>
      <c r="G669" s="32" t="s">
        <v>282</v>
      </c>
      <c r="H669" t="s">
        <v>464</v>
      </c>
      <c r="I669" s="83">
        <v>45960</v>
      </c>
      <c r="J669" s="31" t="str">
        <f t="shared" si="10"/>
        <v>69747 45087</v>
      </c>
    </row>
    <row r="670" spans="1:10" ht="16.5" x14ac:dyDescent="0.3">
      <c r="A670">
        <v>670</v>
      </c>
      <c r="B670" s="27" t="s">
        <v>205</v>
      </c>
      <c r="C670" s="50">
        <v>95117113349</v>
      </c>
      <c r="D670" s="50">
        <v>58278</v>
      </c>
      <c r="E670" s="65">
        <v>45432</v>
      </c>
      <c r="F670" s="66">
        <v>242.18</v>
      </c>
      <c r="G670" s="32" t="s">
        <v>282</v>
      </c>
      <c r="H670" t="s">
        <v>464</v>
      </c>
      <c r="I670" s="83">
        <v>45960</v>
      </c>
      <c r="J670" s="31" t="str">
        <f t="shared" si="10"/>
        <v>58278 45432</v>
      </c>
    </row>
    <row r="671" spans="1:10" ht="16.5" x14ac:dyDescent="0.3">
      <c r="A671">
        <v>671</v>
      </c>
      <c r="B671" s="27" t="s">
        <v>205</v>
      </c>
      <c r="C671" s="50">
        <v>95951989353</v>
      </c>
      <c r="D671" s="50">
        <v>67186</v>
      </c>
      <c r="E671" s="65">
        <v>44499</v>
      </c>
      <c r="F671" s="66">
        <v>385.82</v>
      </c>
      <c r="G671" s="32" t="s">
        <v>282</v>
      </c>
      <c r="H671" t="s">
        <v>464</v>
      </c>
      <c r="I671" s="83">
        <v>45960</v>
      </c>
      <c r="J671" s="31" t="str">
        <f t="shared" si="10"/>
        <v>67186 44499</v>
      </c>
    </row>
    <row r="672" spans="1:10" ht="16.5" x14ac:dyDescent="0.3">
      <c r="A672">
        <v>672</v>
      </c>
      <c r="B672" s="27" t="s">
        <v>205</v>
      </c>
      <c r="C672" s="50">
        <v>96239085391</v>
      </c>
      <c r="D672" s="50">
        <v>72000</v>
      </c>
      <c r="E672" s="65">
        <v>45351</v>
      </c>
      <c r="F672" s="66">
        <v>407.42</v>
      </c>
      <c r="G672" s="32" t="s">
        <v>282</v>
      </c>
      <c r="H672" t="s">
        <v>464</v>
      </c>
      <c r="I672" s="83">
        <v>45960</v>
      </c>
      <c r="J672" s="31" t="str">
        <f t="shared" si="10"/>
        <v>72000 45351</v>
      </c>
    </row>
    <row r="673" spans="1:10" ht="16.5" x14ac:dyDescent="0.3">
      <c r="A673">
        <v>673</v>
      </c>
      <c r="B673" s="27" t="s">
        <v>205</v>
      </c>
      <c r="C673" s="50">
        <v>97207071272</v>
      </c>
      <c r="D673" s="50">
        <v>71372</v>
      </c>
      <c r="E673" s="65">
        <v>45015</v>
      </c>
      <c r="F673" s="66">
        <v>16.8</v>
      </c>
      <c r="G673" s="32" t="s">
        <v>282</v>
      </c>
      <c r="H673" t="s">
        <v>464</v>
      </c>
      <c r="I673" s="83">
        <v>45960</v>
      </c>
      <c r="J673" s="31" t="str">
        <f t="shared" si="10"/>
        <v>71372 45015</v>
      </c>
    </row>
    <row r="674" spans="1:10" ht="16.5" x14ac:dyDescent="0.3">
      <c r="A674">
        <v>674</v>
      </c>
      <c r="B674" s="27" t="s">
        <v>205</v>
      </c>
      <c r="C674" s="50">
        <v>97207071272</v>
      </c>
      <c r="D674" s="50">
        <v>71372</v>
      </c>
      <c r="E674" s="65">
        <v>44956</v>
      </c>
      <c r="F674" s="66">
        <v>332.62</v>
      </c>
      <c r="G674" s="32" t="s">
        <v>282</v>
      </c>
      <c r="H674" t="s">
        <v>464</v>
      </c>
      <c r="I674" s="83">
        <v>45960</v>
      </c>
      <c r="J674" s="31" t="str">
        <f t="shared" si="10"/>
        <v>71372 44956</v>
      </c>
    </row>
    <row r="675" spans="1:10" ht="16.5" x14ac:dyDescent="0.3">
      <c r="A675">
        <v>675</v>
      </c>
      <c r="B675" s="27" t="s">
        <v>205</v>
      </c>
      <c r="C675" s="50">
        <v>97207071272</v>
      </c>
      <c r="D675" s="50">
        <v>71368</v>
      </c>
      <c r="E675" s="65">
        <v>44985</v>
      </c>
      <c r="F675" s="66">
        <v>332.62</v>
      </c>
      <c r="G675" s="32" t="s">
        <v>282</v>
      </c>
      <c r="H675" t="s">
        <v>464</v>
      </c>
      <c r="I675" s="83">
        <v>45960</v>
      </c>
      <c r="J675" s="31" t="str">
        <f t="shared" si="10"/>
        <v>71368 44985</v>
      </c>
    </row>
    <row r="676" spans="1:10" ht="16.5" x14ac:dyDescent="0.3">
      <c r="A676">
        <v>676</v>
      </c>
      <c r="B676" s="27" t="s">
        <v>205</v>
      </c>
      <c r="C676" s="50">
        <v>97207071272</v>
      </c>
      <c r="D676" s="50">
        <v>71368</v>
      </c>
      <c r="E676" s="65">
        <v>45015</v>
      </c>
      <c r="F676" s="66">
        <v>332.62</v>
      </c>
      <c r="G676" s="32" t="s">
        <v>282</v>
      </c>
      <c r="H676" t="s">
        <v>464</v>
      </c>
      <c r="I676" s="83">
        <v>45960</v>
      </c>
      <c r="J676" s="31" t="str">
        <f t="shared" si="10"/>
        <v>71368 45015</v>
      </c>
    </row>
    <row r="677" spans="1:10" ht="16.5" x14ac:dyDescent="0.3">
      <c r="A677">
        <v>677</v>
      </c>
      <c r="B677" s="27" t="s">
        <v>205</v>
      </c>
      <c r="C677" s="50">
        <v>97207071272</v>
      </c>
      <c r="D677" s="50">
        <v>71372</v>
      </c>
      <c r="E677" s="65">
        <v>44925</v>
      </c>
      <c r="F677" s="66">
        <v>332.62</v>
      </c>
      <c r="G677" s="32" t="s">
        <v>282</v>
      </c>
      <c r="H677" t="s">
        <v>464</v>
      </c>
      <c r="I677" s="83">
        <v>45960</v>
      </c>
      <c r="J677" s="31" t="str">
        <f t="shared" si="10"/>
        <v>71372 44925</v>
      </c>
    </row>
    <row r="678" spans="1:10" ht="16.5" x14ac:dyDescent="0.3">
      <c r="A678">
        <v>678</v>
      </c>
      <c r="B678" s="27" t="s">
        <v>205</v>
      </c>
      <c r="C678" s="50">
        <v>97356190320</v>
      </c>
      <c r="D678" s="50">
        <v>68112</v>
      </c>
      <c r="E678" s="65">
        <v>44946</v>
      </c>
      <c r="F678" s="66">
        <v>666.85</v>
      </c>
      <c r="G678" s="32" t="s">
        <v>282</v>
      </c>
      <c r="H678" t="s">
        <v>464</v>
      </c>
      <c r="I678" s="83">
        <v>45960</v>
      </c>
      <c r="J678" s="31" t="str">
        <f t="shared" si="10"/>
        <v>68112 44946</v>
      </c>
    </row>
    <row r="679" spans="1:10" ht="16.5" x14ac:dyDescent="0.3">
      <c r="A679">
        <v>679</v>
      </c>
      <c r="B679" s="27" t="s">
        <v>205</v>
      </c>
      <c r="C679" s="50">
        <v>97356190320</v>
      </c>
      <c r="D679" s="50">
        <v>68112</v>
      </c>
      <c r="E679" s="65">
        <v>44915</v>
      </c>
      <c r="F679" s="66">
        <v>666.85</v>
      </c>
      <c r="G679" s="32" t="s">
        <v>282</v>
      </c>
      <c r="H679" t="s">
        <v>464</v>
      </c>
      <c r="I679" s="83">
        <v>45960</v>
      </c>
      <c r="J679" s="31" t="str">
        <f t="shared" si="10"/>
        <v>68112 44915</v>
      </c>
    </row>
    <row r="680" spans="1:10" ht="16.5" x14ac:dyDescent="0.3">
      <c r="A680">
        <v>680</v>
      </c>
      <c r="B680" s="27" t="s">
        <v>205</v>
      </c>
      <c r="C680" s="50">
        <v>97911895368</v>
      </c>
      <c r="D680" s="50">
        <v>39530</v>
      </c>
      <c r="E680" s="65">
        <v>44819</v>
      </c>
      <c r="F680" s="66">
        <v>23.05</v>
      </c>
      <c r="G680" s="32" t="s">
        <v>282</v>
      </c>
      <c r="H680" t="s">
        <v>118</v>
      </c>
      <c r="I680" s="32" t="s">
        <v>475</v>
      </c>
      <c r="J680" s="31" t="str">
        <f t="shared" si="10"/>
        <v>39530 44819</v>
      </c>
    </row>
    <row r="681" spans="1:10" ht="16.5" x14ac:dyDescent="0.3">
      <c r="A681">
        <v>681</v>
      </c>
      <c r="B681" s="27" t="s">
        <v>205</v>
      </c>
      <c r="C681" s="50">
        <v>97911895368</v>
      </c>
      <c r="D681" s="50">
        <v>39530</v>
      </c>
      <c r="E681" s="65">
        <v>44788</v>
      </c>
      <c r="F681" s="66">
        <v>38.380000000000003</v>
      </c>
      <c r="G681" s="32" t="s">
        <v>282</v>
      </c>
      <c r="H681" t="s">
        <v>118</v>
      </c>
      <c r="I681" s="32" t="s">
        <v>475</v>
      </c>
      <c r="J681" s="31" t="str">
        <f t="shared" si="10"/>
        <v>39530 44788</v>
      </c>
    </row>
    <row r="682" spans="1:10" ht="16.5" x14ac:dyDescent="0.3">
      <c r="A682">
        <v>682</v>
      </c>
      <c r="B682" s="27" t="s">
        <v>205</v>
      </c>
      <c r="C682" s="50">
        <v>98093096191</v>
      </c>
      <c r="D682" s="50">
        <v>70686</v>
      </c>
      <c r="E682" s="65">
        <v>45270</v>
      </c>
      <c r="F682" s="66">
        <v>203.12</v>
      </c>
      <c r="G682" s="32" t="s">
        <v>282</v>
      </c>
      <c r="H682" t="s">
        <v>464</v>
      </c>
      <c r="I682" s="83">
        <v>45960</v>
      </c>
      <c r="J682" s="31" t="str">
        <f t="shared" si="10"/>
        <v>70686 45270</v>
      </c>
    </row>
    <row r="683" spans="1:10" ht="16.5" x14ac:dyDescent="0.3">
      <c r="A683">
        <v>683</v>
      </c>
      <c r="B683" s="27" t="s">
        <v>205</v>
      </c>
      <c r="C683" s="50">
        <v>98093096191</v>
      </c>
      <c r="D683" s="50">
        <v>70702</v>
      </c>
      <c r="E683" s="65">
        <v>45270</v>
      </c>
      <c r="F683" s="66">
        <v>326.95999999999998</v>
      </c>
      <c r="G683" s="32" t="s">
        <v>282</v>
      </c>
      <c r="H683" t="s">
        <v>464</v>
      </c>
      <c r="I683" s="83">
        <v>45960</v>
      </c>
      <c r="J683" s="31" t="str">
        <f t="shared" si="10"/>
        <v>70702 45270</v>
      </c>
    </row>
    <row r="684" spans="1:10" ht="16.5" x14ac:dyDescent="0.3">
      <c r="A684">
        <v>684</v>
      </c>
      <c r="B684" s="27" t="s">
        <v>205</v>
      </c>
      <c r="C684" s="50">
        <v>98148923353</v>
      </c>
      <c r="D684" s="50">
        <v>51331</v>
      </c>
      <c r="E684" s="65">
        <v>45371</v>
      </c>
      <c r="F684" s="66">
        <v>827.98</v>
      </c>
      <c r="G684" s="32" t="s">
        <v>282</v>
      </c>
      <c r="H684" t="s">
        <v>464</v>
      </c>
      <c r="I684" s="83">
        <v>45960</v>
      </c>
      <c r="J684" s="31" t="str">
        <f t="shared" si="10"/>
        <v>51331 45371</v>
      </c>
    </row>
    <row r="685" spans="1:10" ht="16.5" x14ac:dyDescent="0.3">
      <c r="A685">
        <v>685</v>
      </c>
      <c r="B685" s="27" t="s">
        <v>205</v>
      </c>
      <c r="C685" s="50">
        <v>98283200100</v>
      </c>
      <c r="D685" s="50">
        <v>70030</v>
      </c>
      <c r="E685" s="65">
        <v>45168</v>
      </c>
      <c r="F685" s="66">
        <v>463.64</v>
      </c>
      <c r="G685" s="32" t="s">
        <v>282</v>
      </c>
      <c r="H685" t="s">
        <v>464</v>
      </c>
      <c r="I685" s="83">
        <v>45960</v>
      </c>
      <c r="J685" s="31" t="str">
        <f t="shared" si="10"/>
        <v>70030 45168</v>
      </c>
    </row>
    <row r="686" spans="1:10" ht="16.5" x14ac:dyDescent="0.3">
      <c r="A686">
        <v>686</v>
      </c>
      <c r="B686" s="27" t="s">
        <v>205</v>
      </c>
      <c r="C686" s="50">
        <v>98697609372</v>
      </c>
      <c r="D686" s="50">
        <v>69556</v>
      </c>
      <c r="E686" s="65">
        <v>45301</v>
      </c>
      <c r="F686" s="66">
        <v>36</v>
      </c>
      <c r="G686" s="32" t="s">
        <v>282</v>
      </c>
      <c r="H686" t="s">
        <v>464</v>
      </c>
      <c r="I686" s="83">
        <v>45960</v>
      </c>
      <c r="J686" s="31" t="str">
        <f t="shared" si="10"/>
        <v>69556 45301</v>
      </c>
    </row>
    <row r="687" spans="1:10" ht="16.5" x14ac:dyDescent="0.3">
      <c r="A687">
        <v>687</v>
      </c>
      <c r="B687" s="27" t="s">
        <v>205</v>
      </c>
      <c r="C687" s="50">
        <v>98697609372</v>
      </c>
      <c r="D687" s="50">
        <v>69556</v>
      </c>
      <c r="E687" s="65">
        <v>45240</v>
      </c>
      <c r="F687" s="66">
        <v>783.22</v>
      </c>
      <c r="G687" s="32" t="s">
        <v>282</v>
      </c>
      <c r="H687" t="s">
        <v>464</v>
      </c>
      <c r="I687" s="83">
        <v>45960</v>
      </c>
      <c r="J687" s="31" t="str">
        <f t="shared" si="10"/>
        <v>69556 45240</v>
      </c>
    </row>
    <row r="688" spans="1:10" ht="16.5" x14ac:dyDescent="0.3">
      <c r="A688">
        <v>688</v>
      </c>
      <c r="B688" s="27" t="s">
        <v>205</v>
      </c>
      <c r="C688" s="50">
        <v>98697609372</v>
      </c>
      <c r="D688" s="50">
        <v>69556</v>
      </c>
      <c r="E688" s="65">
        <v>45209</v>
      </c>
      <c r="F688" s="66">
        <v>783.22</v>
      </c>
      <c r="G688" s="32" t="s">
        <v>282</v>
      </c>
      <c r="H688" t="s">
        <v>464</v>
      </c>
      <c r="I688" s="83">
        <v>45960</v>
      </c>
      <c r="J688" s="31" t="str">
        <f t="shared" si="10"/>
        <v>69556 45209</v>
      </c>
    </row>
    <row r="689" spans="1:10" ht="16.5" x14ac:dyDescent="0.3">
      <c r="A689">
        <v>689</v>
      </c>
      <c r="B689" s="27" t="s">
        <v>205</v>
      </c>
      <c r="C689" s="50">
        <v>99542560168</v>
      </c>
      <c r="D689" s="50">
        <v>63463</v>
      </c>
      <c r="E689" s="65">
        <v>44985</v>
      </c>
      <c r="F689" s="66">
        <v>106.17</v>
      </c>
      <c r="G689" s="32" t="s">
        <v>282</v>
      </c>
      <c r="H689" t="s">
        <v>464</v>
      </c>
      <c r="I689" s="83">
        <v>45960</v>
      </c>
      <c r="J689" s="31" t="str">
        <f t="shared" si="10"/>
        <v>63463 44985</v>
      </c>
    </row>
    <row r="690" spans="1:10" ht="16.5" x14ac:dyDescent="0.3">
      <c r="A690">
        <v>690</v>
      </c>
      <c r="B690" s="27" t="s">
        <v>205</v>
      </c>
      <c r="C690" s="50">
        <v>99747391287</v>
      </c>
      <c r="D690" s="50">
        <v>66144</v>
      </c>
      <c r="E690" s="65">
        <v>45158</v>
      </c>
      <c r="F690" s="66">
        <v>208.69</v>
      </c>
      <c r="G690" s="32" t="s">
        <v>282</v>
      </c>
      <c r="H690" t="s">
        <v>464</v>
      </c>
      <c r="I690" s="83">
        <v>45960</v>
      </c>
      <c r="J690" s="31" t="str">
        <f t="shared" si="10"/>
        <v>66144 45158</v>
      </c>
    </row>
    <row r="691" spans="1:10" ht="16.5" x14ac:dyDescent="0.3">
      <c r="A691">
        <v>691</v>
      </c>
      <c r="B691" s="27" t="s">
        <v>205</v>
      </c>
      <c r="C691" s="50">
        <v>99747391287</v>
      </c>
      <c r="D691" s="50">
        <v>66144</v>
      </c>
      <c r="E691" s="65">
        <v>45127</v>
      </c>
      <c r="F691" s="66">
        <v>208.69</v>
      </c>
      <c r="G691" s="32" t="s">
        <v>282</v>
      </c>
      <c r="H691" t="s">
        <v>464</v>
      </c>
      <c r="I691" s="83">
        <v>45960</v>
      </c>
      <c r="J691" s="31" t="str">
        <f t="shared" si="10"/>
        <v>66144 45127</v>
      </c>
    </row>
    <row r="692" spans="1:10" ht="16.5" x14ac:dyDescent="0.3">
      <c r="A692">
        <v>692</v>
      </c>
      <c r="B692" s="27" t="s">
        <v>205</v>
      </c>
      <c r="C692" s="50" t="s">
        <v>124</v>
      </c>
      <c r="D692" s="50">
        <v>71566</v>
      </c>
      <c r="E692" s="65">
        <v>44977</v>
      </c>
      <c r="F692" s="66">
        <v>246.38</v>
      </c>
      <c r="G692" s="32" t="s">
        <v>282</v>
      </c>
      <c r="H692" t="s">
        <v>464</v>
      </c>
      <c r="I692" s="83">
        <v>45960</v>
      </c>
      <c r="J692" s="31" t="str">
        <f t="shared" si="10"/>
        <v>71566 44977</v>
      </c>
    </row>
    <row r="693" spans="1:10" ht="16.5" x14ac:dyDescent="0.3">
      <c r="A693">
        <v>693</v>
      </c>
      <c r="B693" s="27" t="s">
        <v>205</v>
      </c>
      <c r="C693" s="50" t="s">
        <v>124</v>
      </c>
      <c r="D693" s="50">
        <v>71566</v>
      </c>
      <c r="E693" s="65">
        <v>45005</v>
      </c>
      <c r="F693" s="66">
        <v>246.38</v>
      </c>
      <c r="G693" s="32" t="s">
        <v>282</v>
      </c>
      <c r="H693" t="s">
        <v>464</v>
      </c>
      <c r="I693" s="83">
        <v>45960</v>
      </c>
      <c r="J693" s="31" t="str">
        <f t="shared" si="10"/>
        <v>71566 45005</v>
      </c>
    </row>
    <row r="694" spans="1:10" ht="16.5" x14ac:dyDescent="0.3">
      <c r="A694">
        <v>694</v>
      </c>
      <c r="B694" s="27" t="s">
        <v>205</v>
      </c>
      <c r="C694" s="50" t="s">
        <v>125</v>
      </c>
      <c r="D694" s="50">
        <v>67710</v>
      </c>
      <c r="E694" s="65">
        <v>44530</v>
      </c>
      <c r="F694" s="66">
        <v>263.68</v>
      </c>
      <c r="G694" s="32" t="s">
        <v>282</v>
      </c>
      <c r="H694" t="s">
        <v>464</v>
      </c>
      <c r="I694" s="83">
        <v>45960</v>
      </c>
      <c r="J694" s="31" t="str">
        <f t="shared" si="10"/>
        <v>67710 44530</v>
      </c>
    </row>
    <row r="695" spans="1:10" ht="16.5" x14ac:dyDescent="0.3">
      <c r="A695">
        <v>695</v>
      </c>
      <c r="B695" s="27" t="s">
        <v>205</v>
      </c>
      <c r="C695" s="50" t="s">
        <v>125</v>
      </c>
      <c r="D695" s="50">
        <v>67710</v>
      </c>
      <c r="E695" s="65">
        <v>44560</v>
      </c>
      <c r="F695" s="66">
        <v>263.68</v>
      </c>
      <c r="G695" s="32" t="s">
        <v>282</v>
      </c>
      <c r="H695" t="s">
        <v>464</v>
      </c>
      <c r="I695" s="83">
        <v>45960</v>
      </c>
      <c r="J695" s="31" t="str">
        <f t="shared" si="10"/>
        <v>67710 44560</v>
      </c>
    </row>
    <row r="696" spans="1:10" ht="16.5" x14ac:dyDescent="0.3">
      <c r="A696">
        <v>696</v>
      </c>
      <c r="B696" s="27" t="s">
        <v>205</v>
      </c>
      <c r="C696" s="50" t="s">
        <v>126</v>
      </c>
      <c r="D696" s="50">
        <v>15206</v>
      </c>
      <c r="E696" s="65">
        <v>45137</v>
      </c>
      <c r="F696" s="66">
        <v>1035.03</v>
      </c>
      <c r="G696" s="32" t="s">
        <v>282</v>
      </c>
      <c r="H696" t="s">
        <v>464</v>
      </c>
      <c r="I696" s="83">
        <v>45960</v>
      </c>
      <c r="J696" s="31" t="str">
        <f t="shared" si="10"/>
        <v>15206 45137</v>
      </c>
    </row>
    <row r="697" spans="1:10" ht="16.5" x14ac:dyDescent="0.3">
      <c r="A697">
        <v>697</v>
      </c>
      <c r="B697" s="27" t="s">
        <v>205</v>
      </c>
      <c r="C697" s="50" t="s">
        <v>126</v>
      </c>
      <c r="D697" s="50">
        <v>15206</v>
      </c>
      <c r="E697" s="65">
        <v>45107</v>
      </c>
      <c r="F697" s="66">
        <v>944.11</v>
      </c>
      <c r="G697" s="32" t="s">
        <v>282</v>
      </c>
      <c r="H697" t="s">
        <v>464</v>
      </c>
      <c r="I697" s="83">
        <v>45960</v>
      </c>
      <c r="J697" s="31" t="str">
        <f t="shared" si="10"/>
        <v>15206 45107</v>
      </c>
    </row>
    <row r="698" spans="1:10" ht="16.5" x14ac:dyDescent="0.3">
      <c r="A698">
        <v>698</v>
      </c>
      <c r="B698" s="27" t="s">
        <v>205</v>
      </c>
      <c r="C698" s="50" t="s">
        <v>127</v>
      </c>
      <c r="D698" s="50">
        <v>63421</v>
      </c>
      <c r="E698" s="65">
        <v>45066</v>
      </c>
      <c r="F698" s="66">
        <v>316.95999999999998</v>
      </c>
      <c r="G698" s="32" t="s">
        <v>282</v>
      </c>
      <c r="H698" t="s">
        <v>464</v>
      </c>
      <c r="I698" s="83">
        <v>45960</v>
      </c>
      <c r="J698" s="31" t="str">
        <f t="shared" si="10"/>
        <v>63421 45066</v>
      </c>
    </row>
    <row r="699" spans="1:10" ht="16.5" x14ac:dyDescent="0.3">
      <c r="A699">
        <v>699</v>
      </c>
      <c r="B699" s="27" t="s">
        <v>205</v>
      </c>
      <c r="C699" s="50" t="s">
        <v>127</v>
      </c>
      <c r="D699" s="50">
        <v>63421</v>
      </c>
      <c r="E699" s="65">
        <v>45036</v>
      </c>
      <c r="F699" s="66">
        <v>316.95999999999998</v>
      </c>
      <c r="G699" s="32" t="s">
        <v>282</v>
      </c>
      <c r="H699" t="s">
        <v>464</v>
      </c>
      <c r="I699" s="83">
        <v>45960</v>
      </c>
      <c r="J699" s="31" t="str">
        <f t="shared" si="10"/>
        <v>63421 45036</v>
      </c>
    </row>
    <row r="700" spans="1:10" ht="16.5" x14ac:dyDescent="0.3">
      <c r="A700">
        <v>700</v>
      </c>
      <c r="B700" s="27" t="s">
        <v>205</v>
      </c>
      <c r="C700" s="50" t="s">
        <v>128</v>
      </c>
      <c r="D700" s="50">
        <v>70324</v>
      </c>
      <c r="E700" s="65">
        <v>45381</v>
      </c>
      <c r="F700" s="66">
        <v>210</v>
      </c>
      <c r="G700" s="32" t="s">
        <v>282</v>
      </c>
      <c r="H700" t="s">
        <v>464</v>
      </c>
      <c r="I700" s="83">
        <v>45960</v>
      </c>
      <c r="J700" s="31" t="str">
        <f t="shared" si="10"/>
        <v>70324 45381</v>
      </c>
    </row>
    <row r="701" spans="1:10" ht="16.5" x14ac:dyDescent="0.3">
      <c r="A701">
        <v>701</v>
      </c>
      <c r="B701" s="27" t="s">
        <v>205</v>
      </c>
      <c r="C701" s="50" t="s">
        <v>128</v>
      </c>
      <c r="D701" s="50">
        <v>70324</v>
      </c>
      <c r="E701" s="65">
        <v>45290</v>
      </c>
      <c r="F701" s="66">
        <v>215</v>
      </c>
      <c r="G701" s="32" t="s">
        <v>282</v>
      </c>
      <c r="H701" t="s">
        <v>464</v>
      </c>
      <c r="I701" s="83">
        <v>45960</v>
      </c>
      <c r="J701" s="31" t="str">
        <f t="shared" si="10"/>
        <v>70324 45290</v>
      </c>
    </row>
    <row r="702" spans="1:10" ht="16.5" x14ac:dyDescent="0.3">
      <c r="A702">
        <v>702</v>
      </c>
      <c r="B702" s="27" t="s">
        <v>205</v>
      </c>
      <c r="C702" s="50" t="s">
        <v>128</v>
      </c>
      <c r="D702" s="50">
        <v>70324</v>
      </c>
      <c r="E702" s="65">
        <v>45260</v>
      </c>
      <c r="F702" s="66">
        <v>515</v>
      </c>
      <c r="G702" s="32" t="s">
        <v>282</v>
      </c>
      <c r="H702" t="s">
        <v>464</v>
      </c>
      <c r="I702" s="83">
        <v>45960</v>
      </c>
      <c r="J702" s="31" t="str">
        <f t="shared" si="10"/>
        <v>70324 45260</v>
      </c>
    </row>
    <row r="703" spans="1:10" ht="16.5" x14ac:dyDescent="0.3">
      <c r="A703">
        <v>703</v>
      </c>
      <c r="B703" s="27" t="s">
        <v>205</v>
      </c>
      <c r="C703" s="50" t="s">
        <v>128</v>
      </c>
      <c r="D703" s="50">
        <v>70324</v>
      </c>
      <c r="E703" s="65">
        <v>45229</v>
      </c>
      <c r="F703" s="66">
        <v>284.57</v>
      </c>
      <c r="G703" s="32" t="s">
        <v>282</v>
      </c>
      <c r="H703" t="s">
        <v>464</v>
      </c>
      <c r="I703" s="83">
        <v>45960</v>
      </c>
      <c r="J703" s="31" t="str">
        <f t="shared" si="10"/>
        <v>70324 45229</v>
      </c>
    </row>
    <row r="704" spans="1:10" ht="16.5" x14ac:dyDescent="0.3">
      <c r="A704">
        <v>704</v>
      </c>
      <c r="B704" s="27" t="s">
        <v>205</v>
      </c>
      <c r="C704" s="50" t="s">
        <v>128</v>
      </c>
      <c r="D704" s="50">
        <v>70324</v>
      </c>
      <c r="E704" s="65">
        <v>45199</v>
      </c>
      <c r="F704" s="66">
        <v>756.57</v>
      </c>
      <c r="G704" s="32" t="s">
        <v>282</v>
      </c>
      <c r="H704" t="s">
        <v>464</v>
      </c>
      <c r="I704" s="83">
        <v>45960</v>
      </c>
      <c r="J704" s="31" t="str">
        <f t="shared" si="10"/>
        <v>70324 45199</v>
      </c>
    </row>
    <row r="705" spans="1:10" ht="16.5" x14ac:dyDescent="0.3">
      <c r="A705">
        <v>705</v>
      </c>
      <c r="B705" s="27" t="s">
        <v>205</v>
      </c>
      <c r="C705" s="50" t="s">
        <v>129</v>
      </c>
      <c r="D705" s="50">
        <v>66964</v>
      </c>
      <c r="E705" s="65">
        <v>44612</v>
      </c>
      <c r="F705" s="66">
        <v>292.98</v>
      </c>
      <c r="G705" s="32" t="s">
        <v>282</v>
      </c>
      <c r="H705" t="s">
        <v>464</v>
      </c>
      <c r="I705" s="83">
        <v>45960</v>
      </c>
      <c r="J705" s="31" t="str">
        <f t="shared" si="10"/>
        <v>66964 44612</v>
      </c>
    </row>
    <row r="706" spans="1:10" ht="16.5" x14ac:dyDescent="0.3">
      <c r="A706">
        <v>706</v>
      </c>
      <c r="B706" s="27" t="s">
        <v>205</v>
      </c>
      <c r="C706" s="50" t="s">
        <v>129</v>
      </c>
      <c r="D706" s="50">
        <v>66964</v>
      </c>
      <c r="E706" s="65">
        <v>44581</v>
      </c>
      <c r="F706" s="66">
        <v>292.98</v>
      </c>
      <c r="G706" s="32" t="s">
        <v>282</v>
      </c>
      <c r="H706" t="s">
        <v>464</v>
      </c>
      <c r="I706" s="83">
        <v>45960</v>
      </c>
      <c r="J706" s="31" t="str">
        <f t="shared" ref="J706:J769" si="11">_xlfn.CONCAT(D706," ",E706)</f>
        <v>66964 44581</v>
      </c>
    </row>
    <row r="707" spans="1:10" ht="16.5" x14ac:dyDescent="0.3">
      <c r="A707">
        <v>707</v>
      </c>
      <c r="B707" s="27" t="s">
        <v>205</v>
      </c>
      <c r="C707" s="50" t="s">
        <v>130</v>
      </c>
      <c r="D707" s="50">
        <v>71398</v>
      </c>
      <c r="E707" s="65">
        <v>45301</v>
      </c>
      <c r="F707" s="66">
        <v>72</v>
      </c>
      <c r="G707" s="32" t="s">
        <v>282</v>
      </c>
      <c r="H707" t="s">
        <v>464</v>
      </c>
      <c r="I707" s="83">
        <v>45960</v>
      </c>
      <c r="J707" s="31" t="str">
        <f t="shared" si="11"/>
        <v>71398 45301</v>
      </c>
    </row>
    <row r="708" spans="1:10" ht="16.5" x14ac:dyDescent="0.3">
      <c r="A708">
        <v>708</v>
      </c>
      <c r="B708" s="27" t="s">
        <v>205</v>
      </c>
      <c r="C708" s="50" t="s">
        <v>130</v>
      </c>
      <c r="D708" s="50">
        <v>71398</v>
      </c>
      <c r="E708" s="65">
        <v>45240</v>
      </c>
      <c r="F708" s="66">
        <v>438.61</v>
      </c>
      <c r="G708" s="32" t="s">
        <v>282</v>
      </c>
      <c r="H708" t="s">
        <v>464</v>
      </c>
      <c r="I708" s="83">
        <v>45960</v>
      </c>
      <c r="J708" s="31" t="str">
        <f t="shared" si="11"/>
        <v>71398 45240</v>
      </c>
    </row>
    <row r="709" spans="1:10" ht="16.5" x14ac:dyDescent="0.3">
      <c r="A709">
        <v>709</v>
      </c>
      <c r="B709" s="27" t="s">
        <v>205</v>
      </c>
      <c r="C709" s="50" t="s">
        <v>131</v>
      </c>
      <c r="D709" s="50">
        <v>70376</v>
      </c>
      <c r="E709" s="65">
        <v>45240</v>
      </c>
      <c r="F709" s="66">
        <v>601.11</v>
      </c>
      <c r="G709" s="32" t="s">
        <v>282</v>
      </c>
      <c r="H709" t="s">
        <v>118</v>
      </c>
      <c r="I709" s="32" t="s">
        <v>475</v>
      </c>
      <c r="J709" s="31" t="str">
        <f t="shared" si="11"/>
        <v>70376 45240</v>
      </c>
    </row>
    <row r="710" spans="1:10" ht="16.5" x14ac:dyDescent="0.3">
      <c r="A710">
        <v>710</v>
      </c>
      <c r="B710" s="27" t="s">
        <v>205</v>
      </c>
      <c r="C710" s="50" t="s">
        <v>132</v>
      </c>
      <c r="D710" s="50">
        <v>70314</v>
      </c>
      <c r="E710" s="65">
        <v>45107</v>
      </c>
      <c r="F710" s="66">
        <v>36</v>
      </c>
      <c r="G710" s="32" t="s">
        <v>282</v>
      </c>
      <c r="H710" t="s">
        <v>464</v>
      </c>
      <c r="I710" s="83">
        <v>45960</v>
      </c>
      <c r="J710" s="31" t="str">
        <f t="shared" si="11"/>
        <v>70314 45107</v>
      </c>
    </row>
    <row r="711" spans="1:10" ht="16.5" x14ac:dyDescent="0.3">
      <c r="A711">
        <v>711</v>
      </c>
      <c r="B711" s="27" t="s">
        <v>205</v>
      </c>
      <c r="C711" s="50" t="s">
        <v>133</v>
      </c>
      <c r="D711" s="50">
        <v>66002</v>
      </c>
      <c r="E711" s="65">
        <v>44742</v>
      </c>
      <c r="F711" s="66">
        <v>36</v>
      </c>
      <c r="G711" s="32" t="s">
        <v>282</v>
      </c>
      <c r="H711" t="s">
        <v>464</v>
      </c>
      <c r="I711" s="83">
        <v>45960</v>
      </c>
      <c r="J711" s="31" t="str">
        <f t="shared" si="11"/>
        <v>66002 44742</v>
      </c>
    </row>
    <row r="712" spans="1:10" ht="16.5" x14ac:dyDescent="0.3">
      <c r="A712">
        <v>712</v>
      </c>
      <c r="B712" s="27" t="s">
        <v>205</v>
      </c>
      <c r="C712" s="50" t="s">
        <v>133</v>
      </c>
      <c r="D712" s="50">
        <v>66002</v>
      </c>
      <c r="E712" s="65">
        <v>44772</v>
      </c>
      <c r="F712" s="66">
        <v>36</v>
      </c>
      <c r="G712" s="32" t="s">
        <v>282</v>
      </c>
      <c r="H712" t="s">
        <v>464</v>
      </c>
      <c r="I712" s="83">
        <v>45960</v>
      </c>
      <c r="J712" s="31" t="str">
        <f t="shared" si="11"/>
        <v>66002 44772</v>
      </c>
    </row>
    <row r="713" spans="1:10" ht="16.5" x14ac:dyDescent="0.3">
      <c r="A713">
        <v>713</v>
      </c>
      <c r="B713" s="27" t="s">
        <v>205</v>
      </c>
      <c r="C713" s="50" t="s">
        <v>134</v>
      </c>
      <c r="D713" s="50">
        <v>69910</v>
      </c>
      <c r="E713" s="65">
        <v>45005</v>
      </c>
      <c r="F713" s="66">
        <v>57.79</v>
      </c>
      <c r="G713" s="32" t="s">
        <v>282</v>
      </c>
      <c r="H713" t="s">
        <v>464</v>
      </c>
      <c r="I713" s="83">
        <v>45960</v>
      </c>
      <c r="J713" s="31" t="str">
        <f t="shared" si="11"/>
        <v>69910 45005</v>
      </c>
    </row>
    <row r="714" spans="1:10" ht="16.5" x14ac:dyDescent="0.3">
      <c r="A714">
        <v>714</v>
      </c>
      <c r="B714" s="27" t="s">
        <v>205</v>
      </c>
      <c r="C714" s="50" t="s">
        <v>135</v>
      </c>
      <c r="D714" s="50">
        <v>57298</v>
      </c>
      <c r="E714" s="65">
        <v>44854</v>
      </c>
      <c r="F714" s="66">
        <v>173.73</v>
      </c>
      <c r="G714" s="32" t="s">
        <v>282</v>
      </c>
      <c r="H714" t="s">
        <v>464</v>
      </c>
      <c r="I714" s="83">
        <v>45960</v>
      </c>
      <c r="J714" s="31" t="str">
        <f t="shared" si="11"/>
        <v>57298 44854</v>
      </c>
    </row>
    <row r="715" spans="1:10" ht="16.5" x14ac:dyDescent="0.3">
      <c r="A715">
        <v>715</v>
      </c>
      <c r="B715" s="27" t="s">
        <v>205</v>
      </c>
      <c r="C715" s="50" t="s">
        <v>135</v>
      </c>
      <c r="D715" s="50">
        <v>57298</v>
      </c>
      <c r="E715" s="65">
        <v>44824</v>
      </c>
      <c r="F715" s="66">
        <v>173.73</v>
      </c>
      <c r="G715" s="32" t="s">
        <v>282</v>
      </c>
      <c r="H715" t="s">
        <v>464</v>
      </c>
      <c r="I715" s="83">
        <v>45960</v>
      </c>
      <c r="J715" s="31" t="str">
        <f t="shared" si="11"/>
        <v>57298 44824</v>
      </c>
    </row>
    <row r="716" spans="1:10" ht="16.5" x14ac:dyDescent="0.3">
      <c r="A716">
        <v>716</v>
      </c>
      <c r="B716" s="27" t="s">
        <v>205</v>
      </c>
      <c r="C716" s="50" t="s">
        <v>135</v>
      </c>
      <c r="D716" s="50">
        <v>48972</v>
      </c>
      <c r="E716" s="65">
        <v>44742</v>
      </c>
      <c r="F716" s="66">
        <v>216.31</v>
      </c>
      <c r="G716" s="32" t="s">
        <v>282</v>
      </c>
      <c r="H716" t="s">
        <v>464</v>
      </c>
      <c r="I716" s="83">
        <v>45960</v>
      </c>
      <c r="J716" s="31" t="str">
        <f t="shared" si="11"/>
        <v>48972 44742</v>
      </c>
    </row>
    <row r="717" spans="1:10" ht="16.5" x14ac:dyDescent="0.3">
      <c r="A717">
        <v>717</v>
      </c>
      <c r="B717" s="27" t="s">
        <v>205</v>
      </c>
      <c r="C717" s="50" t="s">
        <v>135</v>
      </c>
      <c r="D717" s="50">
        <v>48972</v>
      </c>
      <c r="E717" s="65">
        <v>44711</v>
      </c>
      <c r="F717" s="66">
        <v>210.23</v>
      </c>
      <c r="G717" s="32" t="s">
        <v>282</v>
      </c>
      <c r="H717" t="s">
        <v>464</v>
      </c>
      <c r="I717" s="83">
        <v>45960</v>
      </c>
      <c r="J717" s="31" t="str">
        <f t="shared" si="11"/>
        <v>48972 44711</v>
      </c>
    </row>
    <row r="718" spans="1:10" ht="16.5" x14ac:dyDescent="0.3">
      <c r="A718">
        <v>718</v>
      </c>
      <c r="B718" s="27" t="s">
        <v>205</v>
      </c>
      <c r="C718" s="50" t="s">
        <v>136</v>
      </c>
      <c r="D718" s="50">
        <v>66376</v>
      </c>
      <c r="E718" s="65">
        <v>44550</v>
      </c>
      <c r="F718" s="66">
        <v>73.680000000000007</v>
      </c>
      <c r="G718" s="32" t="s">
        <v>282</v>
      </c>
      <c r="H718" t="s">
        <v>464</v>
      </c>
      <c r="I718" s="83">
        <v>45960</v>
      </c>
      <c r="J718" s="31" t="str">
        <f t="shared" si="11"/>
        <v>66376 44550</v>
      </c>
    </row>
    <row r="719" spans="1:10" ht="16.5" x14ac:dyDescent="0.3">
      <c r="A719">
        <v>719</v>
      </c>
      <c r="B719" s="27" t="s">
        <v>205</v>
      </c>
      <c r="C719" s="50" t="s">
        <v>137</v>
      </c>
      <c r="D719" s="50">
        <v>26579</v>
      </c>
      <c r="E719" s="65">
        <v>45214</v>
      </c>
      <c r="F719" s="66">
        <v>824.8</v>
      </c>
      <c r="G719" s="32" t="s">
        <v>282</v>
      </c>
      <c r="H719" t="s">
        <v>464</v>
      </c>
      <c r="I719" s="83">
        <v>45960</v>
      </c>
      <c r="J719" s="31" t="str">
        <f t="shared" si="11"/>
        <v>26579 45214</v>
      </c>
    </row>
    <row r="720" spans="1:10" ht="16.5" x14ac:dyDescent="0.3">
      <c r="A720">
        <v>720</v>
      </c>
      <c r="B720" s="27" t="s">
        <v>205</v>
      </c>
      <c r="C720" s="50" t="s">
        <v>137</v>
      </c>
      <c r="D720" s="50">
        <v>26579</v>
      </c>
      <c r="E720" s="65">
        <v>45184</v>
      </c>
      <c r="F720" s="66">
        <v>824.8</v>
      </c>
      <c r="G720" s="32" t="s">
        <v>282</v>
      </c>
      <c r="H720" t="s">
        <v>464</v>
      </c>
      <c r="I720" s="83">
        <v>45960</v>
      </c>
      <c r="J720" s="31" t="str">
        <f t="shared" si="11"/>
        <v>26579 45184</v>
      </c>
    </row>
    <row r="721" spans="1:10" ht="16.5" x14ac:dyDescent="0.3">
      <c r="A721">
        <v>721</v>
      </c>
      <c r="B721" s="27" t="s">
        <v>205</v>
      </c>
      <c r="C721" s="50" t="s">
        <v>137</v>
      </c>
      <c r="D721" s="50">
        <v>67377</v>
      </c>
      <c r="E721" s="65">
        <v>45137</v>
      </c>
      <c r="F721" s="66">
        <v>388.7</v>
      </c>
      <c r="G721" s="32" t="s">
        <v>282</v>
      </c>
      <c r="H721" t="s">
        <v>464</v>
      </c>
      <c r="I721" s="83">
        <v>45960</v>
      </c>
      <c r="J721" s="31" t="str">
        <f t="shared" si="11"/>
        <v>67377 45137</v>
      </c>
    </row>
    <row r="722" spans="1:10" ht="16.5" x14ac:dyDescent="0.3">
      <c r="A722">
        <v>722</v>
      </c>
      <c r="B722" s="27" t="s">
        <v>205</v>
      </c>
      <c r="C722" s="50" t="s">
        <v>137</v>
      </c>
      <c r="D722" s="50">
        <v>67377</v>
      </c>
      <c r="E722" s="65">
        <v>45107</v>
      </c>
      <c r="F722" s="66">
        <v>328.81</v>
      </c>
      <c r="G722" s="32" t="s">
        <v>282</v>
      </c>
      <c r="H722" t="s">
        <v>464</v>
      </c>
      <c r="I722" s="83">
        <v>45960</v>
      </c>
      <c r="J722" s="31" t="str">
        <f t="shared" si="11"/>
        <v>67377 45107</v>
      </c>
    </row>
    <row r="723" spans="1:10" ht="16.5" x14ac:dyDescent="0.3">
      <c r="A723">
        <v>723</v>
      </c>
      <c r="B723" s="27" t="s">
        <v>205</v>
      </c>
      <c r="C723" s="50" t="s">
        <v>138</v>
      </c>
      <c r="D723" s="50">
        <v>51899</v>
      </c>
      <c r="E723" s="65">
        <v>45158</v>
      </c>
      <c r="F723" s="66">
        <v>1319.11</v>
      </c>
      <c r="G723" s="32" t="s">
        <v>282</v>
      </c>
      <c r="H723" t="s">
        <v>464</v>
      </c>
      <c r="I723" s="83">
        <v>45960</v>
      </c>
      <c r="J723" s="31" t="str">
        <f t="shared" si="11"/>
        <v>51899 45158</v>
      </c>
    </row>
    <row r="724" spans="1:10" ht="16.5" x14ac:dyDescent="0.3">
      <c r="A724">
        <v>724</v>
      </c>
      <c r="B724" s="27" t="s">
        <v>205</v>
      </c>
      <c r="C724" s="50" t="s">
        <v>138</v>
      </c>
      <c r="D724" s="50">
        <v>51899</v>
      </c>
      <c r="E724" s="65">
        <v>45127</v>
      </c>
      <c r="F724" s="66">
        <v>1319.11</v>
      </c>
      <c r="G724" s="32" t="s">
        <v>282</v>
      </c>
      <c r="H724" t="s">
        <v>464</v>
      </c>
      <c r="I724" s="83">
        <v>45960</v>
      </c>
      <c r="J724" s="31" t="str">
        <f t="shared" si="11"/>
        <v>51899 45127</v>
      </c>
    </row>
    <row r="725" spans="1:10" ht="16.5" x14ac:dyDescent="0.3">
      <c r="A725">
        <v>725</v>
      </c>
      <c r="B725" s="27" t="s">
        <v>205</v>
      </c>
      <c r="C725" s="50" t="s">
        <v>139</v>
      </c>
      <c r="D725" s="50">
        <v>69939</v>
      </c>
      <c r="E725" s="65">
        <v>45097</v>
      </c>
      <c r="F725" s="66">
        <v>126.95</v>
      </c>
      <c r="G725" s="32" t="s">
        <v>282</v>
      </c>
      <c r="H725" t="s">
        <v>464</v>
      </c>
      <c r="I725" s="83">
        <v>45960</v>
      </c>
      <c r="J725" s="31" t="str">
        <f t="shared" si="11"/>
        <v>69939 45097</v>
      </c>
    </row>
    <row r="726" spans="1:10" ht="16.5" x14ac:dyDescent="0.3">
      <c r="A726">
        <v>726</v>
      </c>
      <c r="B726" s="27" t="s">
        <v>205</v>
      </c>
      <c r="C726" s="48" t="s">
        <v>122</v>
      </c>
      <c r="D726" s="48">
        <v>65524</v>
      </c>
      <c r="E726" s="56">
        <v>45332</v>
      </c>
      <c r="F726" s="57">
        <v>172.02</v>
      </c>
      <c r="G726" s="32" t="s">
        <v>282</v>
      </c>
      <c r="H726" t="s">
        <v>464</v>
      </c>
      <c r="I726" s="83">
        <v>45960</v>
      </c>
      <c r="J726" s="31" t="str">
        <f t="shared" si="11"/>
        <v>65524 45332</v>
      </c>
    </row>
    <row r="727" spans="1:10" ht="16.5" x14ac:dyDescent="0.3">
      <c r="A727">
        <v>727</v>
      </c>
      <c r="B727" s="27" t="s">
        <v>205</v>
      </c>
      <c r="C727" s="48" t="s">
        <v>122</v>
      </c>
      <c r="D727" s="48">
        <v>65524</v>
      </c>
      <c r="E727" s="56">
        <v>45270</v>
      </c>
      <c r="F727" s="57">
        <v>21.47</v>
      </c>
      <c r="G727" s="32" t="s">
        <v>282</v>
      </c>
      <c r="H727" t="s">
        <v>464</v>
      </c>
      <c r="I727" s="83">
        <v>45960</v>
      </c>
      <c r="J727" s="31" t="str">
        <f t="shared" si="11"/>
        <v>65524 45270</v>
      </c>
    </row>
    <row r="728" spans="1:10" ht="16.5" x14ac:dyDescent="0.3">
      <c r="A728">
        <v>728</v>
      </c>
      <c r="B728" s="27" t="s">
        <v>205</v>
      </c>
      <c r="C728" s="48" t="s">
        <v>123</v>
      </c>
      <c r="D728" s="48">
        <v>66932</v>
      </c>
      <c r="E728" s="56">
        <v>45422</v>
      </c>
      <c r="F728" s="57">
        <v>502.39</v>
      </c>
      <c r="G728" s="32" t="s">
        <v>282</v>
      </c>
      <c r="H728" t="s">
        <v>464</v>
      </c>
      <c r="I728" s="83">
        <v>45960</v>
      </c>
      <c r="J728" s="31" t="str">
        <f t="shared" si="11"/>
        <v>66932 45422</v>
      </c>
    </row>
    <row r="729" spans="1:10" ht="16.5" x14ac:dyDescent="0.3">
      <c r="A729">
        <v>729</v>
      </c>
      <c r="B729" s="27" t="s">
        <v>205</v>
      </c>
      <c r="C729" s="48" t="s">
        <v>123</v>
      </c>
      <c r="D729" s="48">
        <v>66932</v>
      </c>
      <c r="E729" s="56">
        <v>45453</v>
      </c>
      <c r="F729" s="57">
        <v>502.39</v>
      </c>
      <c r="G729" s="32" t="s">
        <v>282</v>
      </c>
      <c r="H729" t="s">
        <v>464</v>
      </c>
      <c r="I729" s="83">
        <v>45960</v>
      </c>
      <c r="J729" s="31" t="str">
        <f t="shared" si="11"/>
        <v>66932 45453</v>
      </c>
    </row>
    <row r="730" spans="1:10" x14ac:dyDescent="0.25">
      <c r="A730">
        <v>730</v>
      </c>
      <c r="B730" s="4" t="s">
        <v>205</v>
      </c>
      <c r="C730" s="48" t="s">
        <v>5</v>
      </c>
      <c r="D730" s="44">
        <v>71214</v>
      </c>
      <c r="E730" s="56">
        <v>44824</v>
      </c>
      <c r="F730" s="48">
        <v>615.71</v>
      </c>
      <c r="G730" s="7">
        <v>44928</v>
      </c>
      <c r="H730" t="s">
        <v>281</v>
      </c>
      <c r="I730" s="32" t="s">
        <v>475</v>
      </c>
      <c r="J730" s="31" t="str">
        <f t="shared" si="11"/>
        <v>71214 44824</v>
      </c>
    </row>
    <row r="731" spans="1:10" x14ac:dyDescent="0.25">
      <c r="A731">
        <v>731</v>
      </c>
      <c r="B731" s="4" t="s">
        <v>205</v>
      </c>
      <c r="C731" s="48" t="s">
        <v>6</v>
      </c>
      <c r="D731" s="44" t="s">
        <v>7</v>
      </c>
      <c r="E731" s="56">
        <v>44195</v>
      </c>
      <c r="F731" s="48">
        <v>524.16</v>
      </c>
      <c r="G731" s="7">
        <v>44301</v>
      </c>
      <c r="H731" t="s">
        <v>281</v>
      </c>
      <c r="I731" s="32" t="s">
        <v>475</v>
      </c>
      <c r="J731" s="31" t="str">
        <f t="shared" si="11"/>
        <v>350 44195</v>
      </c>
    </row>
    <row r="732" spans="1:10" x14ac:dyDescent="0.25">
      <c r="A732">
        <v>732</v>
      </c>
      <c r="B732" s="4" t="s">
        <v>205</v>
      </c>
      <c r="C732" s="48" t="s">
        <v>8</v>
      </c>
      <c r="D732" s="44">
        <v>70158</v>
      </c>
      <c r="E732" s="56">
        <v>45270</v>
      </c>
      <c r="F732" s="48">
        <v>203.12</v>
      </c>
      <c r="G732" s="7">
        <v>45323</v>
      </c>
      <c r="H732" t="s">
        <v>281</v>
      </c>
      <c r="I732" s="32" t="s">
        <v>475</v>
      </c>
      <c r="J732" s="31" t="str">
        <f t="shared" si="11"/>
        <v>70158 45270</v>
      </c>
    </row>
    <row r="733" spans="1:10" x14ac:dyDescent="0.25">
      <c r="A733">
        <v>733</v>
      </c>
      <c r="B733" s="4" t="s">
        <v>205</v>
      </c>
      <c r="C733" s="48" t="s">
        <v>9</v>
      </c>
      <c r="D733" s="44">
        <v>64058</v>
      </c>
      <c r="E733" s="56">
        <v>44995</v>
      </c>
      <c r="F733" s="48">
        <v>241.67</v>
      </c>
      <c r="G733" s="7">
        <v>45090</v>
      </c>
      <c r="H733" t="s">
        <v>281</v>
      </c>
      <c r="I733" s="32" t="s">
        <v>475</v>
      </c>
      <c r="J733" s="31" t="str">
        <f t="shared" si="11"/>
        <v>64058 44995</v>
      </c>
    </row>
    <row r="734" spans="1:10" x14ac:dyDescent="0.25">
      <c r="A734">
        <v>734</v>
      </c>
      <c r="B734" s="4" t="s">
        <v>205</v>
      </c>
      <c r="C734" s="48" t="s">
        <v>9</v>
      </c>
      <c r="D734" s="44">
        <v>64058</v>
      </c>
      <c r="E734" s="56">
        <v>45026</v>
      </c>
      <c r="F734" s="48">
        <v>241.67</v>
      </c>
      <c r="G734" s="7">
        <v>45090</v>
      </c>
      <c r="H734" t="s">
        <v>281</v>
      </c>
      <c r="I734" s="32" t="s">
        <v>475</v>
      </c>
      <c r="J734" s="31" t="str">
        <f t="shared" si="11"/>
        <v>64058 45026</v>
      </c>
    </row>
    <row r="735" spans="1:10" x14ac:dyDescent="0.25">
      <c r="A735">
        <v>735</v>
      </c>
      <c r="B735" s="4" t="s">
        <v>205</v>
      </c>
      <c r="C735" s="48" t="s">
        <v>10</v>
      </c>
      <c r="D735" s="44">
        <v>69399</v>
      </c>
      <c r="E735" s="56">
        <v>45137</v>
      </c>
      <c r="F735" s="48">
        <v>170.73</v>
      </c>
      <c r="G735" s="7">
        <v>45457</v>
      </c>
      <c r="H735" t="s">
        <v>281</v>
      </c>
      <c r="I735" s="32" t="s">
        <v>475</v>
      </c>
      <c r="J735" s="31" t="str">
        <f t="shared" si="11"/>
        <v>69399 45137</v>
      </c>
    </row>
    <row r="736" spans="1:10" x14ac:dyDescent="0.25">
      <c r="A736">
        <v>736</v>
      </c>
      <c r="B736" s="4" t="s">
        <v>205</v>
      </c>
      <c r="C736" s="48" t="s">
        <v>11</v>
      </c>
      <c r="D736" s="44">
        <v>57190</v>
      </c>
      <c r="E736" s="56">
        <v>45412</v>
      </c>
      <c r="F736" s="48">
        <v>329.32</v>
      </c>
      <c r="G736" s="7">
        <v>45488</v>
      </c>
      <c r="H736" t="s">
        <v>281</v>
      </c>
      <c r="I736" s="32" t="s">
        <v>475</v>
      </c>
      <c r="J736" s="31" t="str">
        <f t="shared" si="11"/>
        <v>57190 45412</v>
      </c>
    </row>
    <row r="737" spans="1:10" x14ac:dyDescent="0.25">
      <c r="A737">
        <v>737</v>
      </c>
      <c r="B737" s="4" t="s">
        <v>205</v>
      </c>
      <c r="C737" s="48" t="s">
        <v>12</v>
      </c>
      <c r="D737" s="44">
        <v>65839</v>
      </c>
      <c r="E737" s="56">
        <v>45280</v>
      </c>
      <c r="F737" s="48">
        <v>448.28</v>
      </c>
      <c r="G737" s="7">
        <v>45323</v>
      </c>
      <c r="H737" t="s">
        <v>281</v>
      </c>
      <c r="I737" s="32" t="s">
        <v>475</v>
      </c>
      <c r="J737" s="31" t="str">
        <f t="shared" si="11"/>
        <v>65839 45280</v>
      </c>
    </row>
    <row r="738" spans="1:10" x14ac:dyDescent="0.25">
      <c r="A738">
        <v>738</v>
      </c>
      <c r="B738" s="4" t="s">
        <v>205</v>
      </c>
      <c r="C738" s="48" t="s">
        <v>13</v>
      </c>
      <c r="D738" s="44">
        <v>59730</v>
      </c>
      <c r="E738" s="56">
        <v>45290</v>
      </c>
      <c r="F738" s="48">
        <v>274.97000000000003</v>
      </c>
      <c r="G738" s="7">
        <v>45323</v>
      </c>
      <c r="H738" t="s">
        <v>281</v>
      </c>
      <c r="I738" s="32" t="s">
        <v>475</v>
      </c>
      <c r="J738" s="31" t="str">
        <f t="shared" si="11"/>
        <v>59730 45290</v>
      </c>
    </row>
    <row r="739" spans="1:10" x14ac:dyDescent="0.25">
      <c r="A739">
        <v>739</v>
      </c>
      <c r="B739" s="4" t="s">
        <v>205</v>
      </c>
      <c r="C739" s="48" t="s">
        <v>14</v>
      </c>
      <c r="D739" s="44">
        <v>66758</v>
      </c>
      <c r="E739" s="56">
        <v>44581</v>
      </c>
      <c r="F739" s="48">
        <v>171.96</v>
      </c>
      <c r="G739" s="7">
        <v>44701</v>
      </c>
      <c r="H739" t="s">
        <v>281</v>
      </c>
      <c r="I739" s="32" t="s">
        <v>475</v>
      </c>
      <c r="J739" s="31" t="str">
        <f t="shared" si="11"/>
        <v>66758 44581</v>
      </c>
    </row>
    <row r="740" spans="1:10" x14ac:dyDescent="0.25">
      <c r="A740">
        <v>740</v>
      </c>
      <c r="B740" s="4" t="s">
        <v>205</v>
      </c>
      <c r="C740" s="48" t="s">
        <v>15</v>
      </c>
      <c r="D740" s="44">
        <v>58663</v>
      </c>
      <c r="E740" s="56">
        <v>45240</v>
      </c>
      <c r="F740" s="48">
        <v>242.18</v>
      </c>
      <c r="G740" s="7">
        <v>45260</v>
      </c>
      <c r="H740" t="s">
        <v>281</v>
      </c>
      <c r="I740" s="32" t="s">
        <v>475</v>
      </c>
      <c r="J740" s="31" t="str">
        <f t="shared" si="11"/>
        <v>58663 45240</v>
      </c>
    </row>
    <row r="741" spans="1:10" x14ac:dyDescent="0.25">
      <c r="A741">
        <v>741</v>
      </c>
      <c r="B741" s="4" t="s">
        <v>205</v>
      </c>
      <c r="C741" s="48" t="s">
        <v>16</v>
      </c>
      <c r="D741" s="44">
        <v>59021</v>
      </c>
      <c r="E741" s="56">
        <v>45301</v>
      </c>
      <c r="F741" s="48">
        <v>219.98</v>
      </c>
      <c r="G741" s="7">
        <v>45323</v>
      </c>
      <c r="H741" t="s">
        <v>281</v>
      </c>
      <c r="I741" s="32" t="s">
        <v>475</v>
      </c>
      <c r="J741" s="31" t="str">
        <f t="shared" si="11"/>
        <v>59021 45301</v>
      </c>
    </row>
    <row r="742" spans="1:10" x14ac:dyDescent="0.25">
      <c r="A742">
        <v>742</v>
      </c>
      <c r="B742" s="4" t="s">
        <v>205</v>
      </c>
      <c r="C742" s="48" t="s">
        <v>16</v>
      </c>
      <c r="D742" s="44">
        <v>59020</v>
      </c>
      <c r="E742" s="56">
        <v>45301</v>
      </c>
      <c r="F742" s="48">
        <v>219.98</v>
      </c>
      <c r="G742" s="7">
        <v>45323</v>
      </c>
      <c r="H742" t="s">
        <v>281</v>
      </c>
      <c r="I742" s="32" t="s">
        <v>475</v>
      </c>
      <c r="J742" s="31" t="str">
        <f t="shared" si="11"/>
        <v>59020 45301</v>
      </c>
    </row>
    <row r="743" spans="1:10" x14ac:dyDescent="0.25">
      <c r="A743">
        <v>743</v>
      </c>
      <c r="B743" s="4" t="s">
        <v>205</v>
      </c>
      <c r="C743" s="48" t="s">
        <v>17</v>
      </c>
      <c r="D743" s="44">
        <v>71586</v>
      </c>
      <c r="E743" s="56">
        <v>45402</v>
      </c>
      <c r="F743" s="48">
        <v>215.38</v>
      </c>
      <c r="G743" s="7">
        <v>45464</v>
      </c>
      <c r="H743" t="s">
        <v>281</v>
      </c>
      <c r="I743" s="32" t="s">
        <v>475</v>
      </c>
      <c r="J743" s="31" t="str">
        <f t="shared" si="11"/>
        <v>71586 45402</v>
      </c>
    </row>
    <row r="744" spans="1:10" x14ac:dyDescent="0.25">
      <c r="A744">
        <v>744</v>
      </c>
      <c r="B744" s="4" t="s">
        <v>205</v>
      </c>
      <c r="C744" s="48" t="s">
        <v>18</v>
      </c>
      <c r="D744" s="44">
        <v>44638</v>
      </c>
      <c r="E744" s="56">
        <v>45332</v>
      </c>
      <c r="F744" s="48">
        <v>165.23</v>
      </c>
      <c r="G744" s="7">
        <v>45464</v>
      </c>
      <c r="H744" t="s">
        <v>281</v>
      </c>
      <c r="I744" s="32" t="s">
        <v>475</v>
      </c>
      <c r="J744" s="31" t="str">
        <f t="shared" si="11"/>
        <v>44638 45332</v>
      </c>
    </row>
    <row r="745" spans="1:10" x14ac:dyDescent="0.25">
      <c r="A745">
        <v>745</v>
      </c>
      <c r="B745" s="4" t="s">
        <v>205</v>
      </c>
      <c r="C745" s="48" t="s">
        <v>19</v>
      </c>
      <c r="D745" s="44">
        <v>58024</v>
      </c>
      <c r="E745" s="56">
        <v>44681</v>
      </c>
      <c r="F745" s="48">
        <v>217.16</v>
      </c>
      <c r="G745" s="7">
        <v>44792</v>
      </c>
      <c r="H745" t="s">
        <v>281</v>
      </c>
      <c r="I745" s="32" t="s">
        <v>475</v>
      </c>
      <c r="J745" s="31" t="str">
        <f t="shared" si="11"/>
        <v>58024 44681</v>
      </c>
    </row>
    <row r="746" spans="1:10" x14ac:dyDescent="0.25">
      <c r="A746">
        <v>746</v>
      </c>
      <c r="B746" s="4" t="s">
        <v>205</v>
      </c>
      <c r="C746" s="48" t="s">
        <v>20</v>
      </c>
      <c r="D746" s="44">
        <v>53774</v>
      </c>
      <c r="E746" s="56">
        <v>44620</v>
      </c>
      <c r="F746" s="67">
        <v>1653.83</v>
      </c>
      <c r="G746" s="7">
        <v>44762</v>
      </c>
      <c r="H746" t="s">
        <v>281</v>
      </c>
      <c r="I746" s="32" t="s">
        <v>475</v>
      </c>
      <c r="J746" s="31" t="str">
        <f t="shared" si="11"/>
        <v>53774 44620</v>
      </c>
    </row>
    <row r="747" spans="1:10" x14ac:dyDescent="0.25">
      <c r="A747">
        <v>747</v>
      </c>
      <c r="B747" s="4" t="s">
        <v>205</v>
      </c>
      <c r="C747" s="48" t="s">
        <v>21</v>
      </c>
      <c r="D747" s="44">
        <v>65656</v>
      </c>
      <c r="E747" s="56">
        <v>45056</v>
      </c>
      <c r="F747" s="48">
        <v>412.37</v>
      </c>
      <c r="G747" s="7">
        <v>45090</v>
      </c>
      <c r="H747" t="s">
        <v>281</v>
      </c>
      <c r="I747" s="32" t="s">
        <v>475</v>
      </c>
      <c r="J747" s="31" t="str">
        <f t="shared" si="11"/>
        <v>65656 45056</v>
      </c>
    </row>
    <row r="748" spans="1:10" x14ac:dyDescent="0.25">
      <c r="A748">
        <v>748</v>
      </c>
      <c r="B748" s="4" t="s">
        <v>205</v>
      </c>
      <c r="C748" s="48" t="s">
        <v>22</v>
      </c>
      <c r="D748" s="44">
        <v>63959</v>
      </c>
      <c r="E748" s="56">
        <v>44336</v>
      </c>
      <c r="F748" s="48">
        <v>289.36</v>
      </c>
      <c r="G748" s="7">
        <v>44469</v>
      </c>
      <c r="H748" t="s">
        <v>281</v>
      </c>
      <c r="I748" s="32" t="s">
        <v>475</v>
      </c>
      <c r="J748" s="31" t="str">
        <f t="shared" si="11"/>
        <v>63959 44336</v>
      </c>
    </row>
    <row r="749" spans="1:10" x14ac:dyDescent="0.25">
      <c r="A749">
        <v>749</v>
      </c>
      <c r="B749" s="4" t="s">
        <v>205</v>
      </c>
      <c r="C749" s="48" t="s">
        <v>23</v>
      </c>
      <c r="D749" s="44">
        <v>71903</v>
      </c>
      <c r="E749" s="56">
        <v>45381</v>
      </c>
      <c r="F749" s="48">
        <v>192.8</v>
      </c>
      <c r="G749" s="7">
        <v>45464</v>
      </c>
      <c r="H749" t="s">
        <v>281</v>
      </c>
      <c r="I749" s="32" t="s">
        <v>475</v>
      </c>
      <c r="J749" s="31" t="str">
        <f t="shared" si="11"/>
        <v>71903 45381</v>
      </c>
    </row>
    <row r="750" spans="1:10" x14ac:dyDescent="0.25">
      <c r="A750">
        <v>750</v>
      </c>
      <c r="B750" s="4" t="s">
        <v>205</v>
      </c>
      <c r="C750" s="48" t="s">
        <v>24</v>
      </c>
      <c r="D750" s="44">
        <v>48437</v>
      </c>
      <c r="E750" s="56">
        <v>44326</v>
      </c>
      <c r="F750" s="48">
        <v>274.57</v>
      </c>
      <c r="G750" s="7">
        <v>44438</v>
      </c>
      <c r="H750" t="s">
        <v>281</v>
      </c>
      <c r="I750" s="32" t="s">
        <v>475</v>
      </c>
      <c r="J750" s="31" t="str">
        <f t="shared" si="11"/>
        <v>48437 44326</v>
      </c>
    </row>
    <row r="751" spans="1:10" x14ac:dyDescent="0.25">
      <c r="A751">
        <v>751</v>
      </c>
      <c r="B751" s="4" t="s">
        <v>205</v>
      </c>
      <c r="C751" s="48" t="s">
        <v>25</v>
      </c>
      <c r="D751" s="44">
        <v>70288</v>
      </c>
      <c r="E751" s="56">
        <v>45137</v>
      </c>
      <c r="F751" s="48">
        <v>21.34</v>
      </c>
      <c r="G751" s="7">
        <v>45254</v>
      </c>
      <c r="H751" t="s">
        <v>281</v>
      </c>
      <c r="I751" s="32" t="s">
        <v>475</v>
      </c>
      <c r="J751" s="31" t="str">
        <f t="shared" si="11"/>
        <v>70288 45137</v>
      </c>
    </row>
    <row r="752" spans="1:10" x14ac:dyDescent="0.25">
      <c r="A752">
        <v>752</v>
      </c>
      <c r="B752" s="4" t="s">
        <v>205</v>
      </c>
      <c r="C752" s="48" t="s">
        <v>26</v>
      </c>
      <c r="D752" s="44">
        <v>69171</v>
      </c>
      <c r="E752" s="56">
        <v>44540</v>
      </c>
      <c r="F752" s="48">
        <v>234.5</v>
      </c>
      <c r="G752" s="7">
        <v>44707</v>
      </c>
      <c r="H752" t="s">
        <v>281</v>
      </c>
      <c r="I752" s="32" t="s">
        <v>475</v>
      </c>
      <c r="J752" s="31" t="str">
        <f t="shared" si="11"/>
        <v>69171 44540</v>
      </c>
    </row>
    <row r="753" spans="1:10" x14ac:dyDescent="0.25">
      <c r="A753">
        <v>753</v>
      </c>
      <c r="B753" s="4" t="s">
        <v>205</v>
      </c>
      <c r="C753" s="48" t="s">
        <v>27</v>
      </c>
      <c r="D753" s="44">
        <v>44711</v>
      </c>
      <c r="E753" s="56">
        <v>45342</v>
      </c>
      <c r="F753" s="48">
        <v>45</v>
      </c>
      <c r="G753" s="7">
        <v>45477</v>
      </c>
      <c r="H753" t="s">
        <v>281</v>
      </c>
      <c r="I753" s="32" t="s">
        <v>475</v>
      </c>
      <c r="J753" s="31" t="str">
        <f t="shared" si="11"/>
        <v>44711 45342</v>
      </c>
    </row>
    <row r="754" spans="1:10" x14ac:dyDescent="0.25">
      <c r="A754">
        <v>754</v>
      </c>
      <c r="B754" s="4" t="s">
        <v>205</v>
      </c>
      <c r="C754" s="48" t="s">
        <v>28</v>
      </c>
      <c r="D754" s="44">
        <v>67518</v>
      </c>
      <c r="E754" s="56">
        <v>44387</v>
      </c>
      <c r="F754" s="48">
        <v>254.88</v>
      </c>
      <c r="G754" s="7">
        <v>44526</v>
      </c>
      <c r="H754" t="s">
        <v>281</v>
      </c>
      <c r="I754" s="32" t="s">
        <v>475</v>
      </c>
      <c r="J754" s="31" t="str">
        <f t="shared" si="11"/>
        <v>67518 44387</v>
      </c>
    </row>
    <row r="755" spans="1:10" x14ac:dyDescent="0.25">
      <c r="A755">
        <v>755</v>
      </c>
      <c r="B755" s="4" t="s">
        <v>205</v>
      </c>
      <c r="C755" s="48" t="s">
        <v>29</v>
      </c>
      <c r="D755" s="44">
        <v>67010</v>
      </c>
      <c r="E755" s="56">
        <v>44591</v>
      </c>
      <c r="F755" s="48">
        <v>287.47000000000003</v>
      </c>
      <c r="G755" s="7">
        <v>44715</v>
      </c>
      <c r="H755" t="s">
        <v>281</v>
      </c>
      <c r="I755" s="32" t="s">
        <v>475</v>
      </c>
      <c r="J755" s="31" t="str">
        <f t="shared" si="11"/>
        <v>67010 44591</v>
      </c>
    </row>
    <row r="756" spans="1:10" x14ac:dyDescent="0.25">
      <c r="A756">
        <v>756</v>
      </c>
      <c r="B756" s="4" t="s">
        <v>205</v>
      </c>
      <c r="C756" s="48" t="s">
        <v>30</v>
      </c>
      <c r="D756" s="44">
        <v>49899</v>
      </c>
      <c r="E756" s="56">
        <v>45402</v>
      </c>
      <c r="F756" s="48">
        <v>222.25</v>
      </c>
      <c r="G756" s="7">
        <v>45464</v>
      </c>
      <c r="H756" t="s">
        <v>281</v>
      </c>
      <c r="I756" s="32" t="s">
        <v>475</v>
      </c>
      <c r="J756" s="31" t="str">
        <f t="shared" si="11"/>
        <v>49899 45402</v>
      </c>
    </row>
    <row r="757" spans="1:10" x14ac:dyDescent="0.25">
      <c r="A757">
        <v>757</v>
      </c>
      <c r="B757" s="4" t="s">
        <v>205</v>
      </c>
      <c r="C757" s="48" t="s">
        <v>30</v>
      </c>
      <c r="D757" s="44">
        <v>49899</v>
      </c>
      <c r="E757" s="56">
        <v>45371</v>
      </c>
      <c r="F757" s="48">
        <v>222.25</v>
      </c>
      <c r="G757" s="7">
        <v>45464</v>
      </c>
      <c r="H757" t="s">
        <v>281</v>
      </c>
      <c r="I757" s="32" t="s">
        <v>475</v>
      </c>
      <c r="J757" s="31" t="str">
        <f t="shared" si="11"/>
        <v>49899 45371</v>
      </c>
    </row>
    <row r="758" spans="1:10" x14ac:dyDescent="0.25">
      <c r="A758">
        <v>758</v>
      </c>
      <c r="B758" s="4" t="s">
        <v>205</v>
      </c>
      <c r="C758" s="48" t="s">
        <v>31</v>
      </c>
      <c r="D758" s="44">
        <v>63415</v>
      </c>
      <c r="E758" s="56">
        <v>45280</v>
      </c>
      <c r="F758" s="48">
        <v>306.83999999999997</v>
      </c>
      <c r="G758" s="7">
        <v>45323</v>
      </c>
      <c r="H758" t="s">
        <v>281</v>
      </c>
      <c r="I758" s="32" t="s">
        <v>475</v>
      </c>
      <c r="J758" s="31" t="str">
        <f t="shared" si="11"/>
        <v>63415 45280</v>
      </c>
    </row>
    <row r="759" spans="1:10" x14ac:dyDescent="0.25">
      <c r="A759">
        <v>759</v>
      </c>
      <c r="B759" s="4" t="s">
        <v>205</v>
      </c>
      <c r="C759" s="48" t="s">
        <v>32</v>
      </c>
      <c r="D759" s="44">
        <v>63822</v>
      </c>
      <c r="E759" s="56">
        <v>44691</v>
      </c>
      <c r="F759" s="48">
        <v>822.58</v>
      </c>
      <c r="G759" s="7">
        <v>44764</v>
      </c>
      <c r="H759" t="s">
        <v>281</v>
      </c>
      <c r="I759" s="32" t="s">
        <v>475</v>
      </c>
      <c r="J759" s="31" t="str">
        <f t="shared" si="11"/>
        <v>63822 44691</v>
      </c>
    </row>
    <row r="760" spans="1:10" x14ac:dyDescent="0.25">
      <c r="A760">
        <v>760</v>
      </c>
      <c r="B760" s="4" t="s">
        <v>205</v>
      </c>
      <c r="C760" s="48" t="s">
        <v>33</v>
      </c>
      <c r="D760" s="44">
        <v>68107</v>
      </c>
      <c r="E760" s="56">
        <v>44550</v>
      </c>
      <c r="F760" s="48">
        <v>58.8</v>
      </c>
      <c r="G760" s="7">
        <v>44644</v>
      </c>
      <c r="H760" t="s">
        <v>281</v>
      </c>
      <c r="I760" s="32" t="s">
        <v>475</v>
      </c>
      <c r="J760" s="31" t="str">
        <f t="shared" si="11"/>
        <v>68107 44550</v>
      </c>
    </row>
    <row r="761" spans="1:10" x14ac:dyDescent="0.25">
      <c r="A761">
        <v>761</v>
      </c>
      <c r="B761" s="4" t="s">
        <v>205</v>
      </c>
      <c r="C761" s="48" t="s">
        <v>34</v>
      </c>
      <c r="D761" s="44">
        <v>65906</v>
      </c>
      <c r="E761" s="56">
        <v>45361</v>
      </c>
      <c r="F761" s="48">
        <v>228.79</v>
      </c>
      <c r="G761" s="7">
        <v>45464</v>
      </c>
      <c r="H761" t="s">
        <v>281</v>
      </c>
      <c r="I761" s="32" t="s">
        <v>475</v>
      </c>
      <c r="J761" s="31" t="str">
        <f t="shared" si="11"/>
        <v>65906 45361</v>
      </c>
    </row>
    <row r="762" spans="1:10" x14ac:dyDescent="0.25">
      <c r="A762">
        <v>762</v>
      </c>
      <c r="B762" s="4" t="s">
        <v>205</v>
      </c>
      <c r="C762" s="48" t="s">
        <v>34</v>
      </c>
      <c r="D762" s="44">
        <v>65906</v>
      </c>
      <c r="E762" s="56">
        <v>45332</v>
      </c>
      <c r="F762" s="48">
        <v>228.79</v>
      </c>
      <c r="G762" s="7">
        <v>45464</v>
      </c>
      <c r="H762" t="s">
        <v>281</v>
      </c>
      <c r="I762" s="32" t="s">
        <v>475</v>
      </c>
      <c r="J762" s="31" t="str">
        <f t="shared" si="11"/>
        <v>65906 45332</v>
      </c>
    </row>
    <row r="763" spans="1:10" x14ac:dyDescent="0.25">
      <c r="A763">
        <v>763</v>
      </c>
      <c r="B763" s="4" t="s">
        <v>205</v>
      </c>
      <c r="C763" s="48" t="s">
        <v>34</v>
      </c>
      <c r="D763" s="44">
        <v>65906</v>
      </c>
      <c r="E763" s="56">
        <v>45392</v>
      </c>
      <c r="F763" s="48">
        <v>228.79</v>
      </c>
      <c r="G763" s="7">
        <v>45464</v>
      </c>
      <c r="H763" t="s">
        <v>281</v>
      </c>
      <c r="I763" s="32" t="s">
        <v>475</v>
      </c>
      <c r="J763" s="31" t="str">
        <f t="shared" si="11"/>
        <v>65906 45392</v>
      </c>
    </row>
    <row r="764" spans="1:10" x14ac:dyDescent="0.25">
      <c r="A764">
        <v>764</v>
      </c>
      <c r="B764" s="4" t="s">
        <v>205</v>
      </c>
      <c r="C764" s="48" t="s">
        <v>35</v>
      </c>
      <c r="D764" s="44">
        <v>68725</v>
      </c>
      <c r="E764" s="56">
        <v>44915</v>
      </c>
      <c r="F764" s="48">
        <v>219.92</v>
      </c>
      <c r="G764" s="7">
        <v>45027</v>
      </c>
      <c r="H764" t="s">
        <v>281</v>
      </c>
      <c r="I764" s="32" t="s">
        <v>475</v>
      </c>
      <c r="J764" s="31" t="str">
        <f t="shared" si="11"/>
        <v>68725 44915</v>
      </c>
    </row>
    <row r="765" spans="1:10" x14ac:dyDescent="0.25">
      <c r="A765">
        <v>765</v>
      </c>
      <c r="B765" s="4" t="s">
        <v>205</v>
      </c>
      <c r="C765" s="48" t="s">
        <v>36</v>
      </c>
      <c r="D765" s="44">
        <v>69282</v>
      </c>
      <c r="E765" s="56">
        <v>45432</v>
      </c>
      <c r="F765" s="67">
        <v>1139.81</v>
      </c>
      <c r="G765" s="7">
        <v>45545</v>
      </c>
      <c r="H765" t="s">
        <v>281</v>
      </c>
      <c r="I765" s="32" t="s">
        <v>475</v>
      </c>
      <c r="J765" s="31" t="str">
        <f t="shared" si="11"/>
        <v>69282 45432</v>
      </c>
    </row>
    <row r="766" spans="1:10" x14ac:dyDescent="0.25">
      <c r="A766">
        <v>766</v>
      </c>
      <c r="B766" s="4" t="s">
        <v>205</v>
      </c>
      <c r="C766" s="48" t="s">
        <v>37</v>
      </c>
      <c r="D766" s="44">
        <v>72681</v>
      </c>
      <c r="E766" s="56">
        <v>45311</v>
      </c>
      <c r="F766" s="48">
        <v>251.83</v>
      </c>
      <c r="G766" s="7">
        <v>45463</v>
      </c>
      <c r="H766" t="s">
        <v>281</v>
      </c>
      <c r="I766" s="32" t="s">
        <v>475</v>
      </c>
      <c r="J766" s="31" t="str">
        <f t="shared" si="11"/>
        <v>72681 45311</v>
      </c>
    </row>
    <row r="767" spans="1:10" x14ac:dyDescent="0.25">
      <c r="A767">
        <v>767</v>
      </c>
      <c r="B767" s="4" t="s">
        <v>205</v>
      </c>
      <c r="C767" s="48" t="s">
        <v>38</v>
      </c>
      <c r="D767" s="44">
        <v>67453</v>
      </c>
      <c r="E767" s="56">
        <v>44691</v>
      </c>
      <c r="F767" s="48">
        <v>154.76</v>
      </c>
      <c r="G767" s="7">
        <v>44791</v>
      </c>
      <c r="H767" t="s">
        <v>281</v>
      </c>
      <c r="I767" s="32" t="s">
        <v>475</v>
      </c>
      <c r="J767" s="31" t="str">
        <f t="shared" si="11"/>
        <v>67453 44691</v>
      </c>
    </row>
    <row r="768" spans="1:10" x14ac:dyDescent="0.25">
      <c r="A768">
        <v>768</v>
      </c>
      <c r="B768" s="4" t="s">
        <v>205</v>
      </c>
      <c r="C768" s="48" t="s">
        <v>38</v>
      </c>
      <c r="D768" s="44">
        <v>67453</v>
      </c>
      <c r="E768" s="56">
        <v>44722</v>
      </c>
      <c r="F768" s="48">
        <v>202.74</v>
      </c>
      <c r="G768" s="7">
        <v>44791</v>
      </c>
      <c r="H768" t="s">
        <v>281</v>
      </c>
      <c r="I768" s="32" t="s">
        <v>475</v>
      </c>
      <c r="J768" s="31" t="str">
        <f t="shared" si="11"/>
        <v>67453 44722</v>
      </c>
    </row>
    <row r="769" spans="1:10" x14ac:dyDescent="0.25">
      <c r="A769">
        <v>769</v>
      </c>
      <c r="B769" s="4" t="s">
        <v>205</v>
      </c>
      <c r="C769" s="48" t="s">
        <v>39</v>
      </c>
      <c r="D769" s="44">
        <v>67875</v>
      </c>
      <c r="E769" s="56">
        <v>45270</v>
      </c>
      <c r="F769" s="67">
        <v>1129.23</v>
      </c>
      <c r="G769" s="7">
        <v>45322</v>
      </c>
      <c r="H769" t="s">
        <v>281</v>
      </c>
      <c r="I769" s="32" t="s">
        <v>475</v>
      </c>
      <c r="J769" s="31" t="str">
        <f t="shared" si="11"/>
        <v>67875 45270</v>
      </c>
    </row>
    <row r="770" spans="1:10" x14ac:dyDescent="0.25">
      <c r="A770">
        <v>770</v>
      </c>
      <c r="B770" s="4" t="s">
        <v>205</v>
      </c>
      <c r="C770" s="48" t="s">
        <v>40</v>
      </c>
      <c r="D770" s="44">
        <v>70054</v>
      </c>
      <c r="E770" s="56">
        <v>45152</v>
      </c>
      <c r="F770" s="48">
        <v>18.82</v>
      </c>
      <c r="G770" s="7">
        <v>45457</v>
      </c>
      <c r="H770" t="s">
        <v>281</v>
      </c>
      <c r="I770" s="32" t="s">
        <v>475</v>
      </c>
      <c r="J770" s="31" t="str">
        <f t="shared" ref="J770:J833" si="12">_xlfn.CONCAT(D770," ",E770)</f>
        <v>70054 45152</v>
      </c>
    </row>
    <row r="771" spans="1:10" x14ac:dyDescent="0.25">
      <c r="A771">
        <v>771</v>
      </c>
      <c r="B771" s="4" t="s">
        <v>205</v>
      </c>
      <c r="C771" s="48" t="s">
        <v>41</v>
      </c>
      <c r="D771" s="44">
        <v>69606</v>
      </c>
      <c r="E771" s="56">
        <v>45371</v>
      </c>
      <c r="F771" s="48">
        <v>225.75</v>
      </c>
      <c r="G771" s="7">
        <v>45464</v>
      </c>
      <c r="H771" t="s">
        <v>281</v>
      </c>
      <c r="I771" s="32" t="s">
        <v>475</v>
      </c>
      <c r="J771" s="31" t="str">
        <f t="shared" si="12"/>
        <v>69606 45371</v>
      </c>
    </row>
    <row r="772" spans="1:10" x14ac:dyDescent="0.25">
      <c r="A772">
        <v>772</v>
      </c>
      <c r="B772" s="4" t="s">
        <v>205</v>
      </c>
      <c r="C772" s="48" t="s">
        <v>41</v>
      </c>
      <c r="D772" s="44">
        <v>69606</v>
      </c>
      <c r="E772" s="56">
        <v>45402</v>
      </c>
      <c r="F772" s="48">
        <v>72</v>
      </c>
      <c r="G772" s="7">
        <v>45464</v>
      </c>
      <c r="H772" t="s">
        <v>281</v>
      </c>
      <c r="I772" s="32" t="s">
        <v>475</v>
      </c>
      <c r="J772" s="31" t="str">
        <f t="shared" si="12"/>
        <v>69606 45402</v>
      </c>
    </row>
    <row r="773" spans="1:10" x14ac:dyDescent="0.25">
      <c r="A773">
        <v>773</v>
      </c>
      <c r="B773" s="4" t="s">
        <v>205</v>
      </c>
      <c r="C773" s="48" t="s">
        <v>42</v>
      </c>
      <c r="D773" s="44">
        <v>15072022</v>
      </c>
      <c r="E773" s="56">
        <v>45127</v>
      </c>
      <c r="F773" s="48">
        <v>66.599999999999994</v>
      </c>
      <c r="G773" s="7">
        <v>45462</v>
      </c>
      <c r="H773" t="s">
        <v>281</v>
      </c>
      <c r="I773" s="32" t="s">
        <v>475</v>
      </c>
      <c r="J773" s="31" t="str">
        <f t="shared" si="12"/>
        <v>15072022 45127</v>
      </c>
    </row>
    <row r="774" spans="1:10" x14ac:dyDescent="0.25">
      <c r="A774">
        <v>774</v>
      </c>
      <c r="B774" s="4" t="s">
        <v>205</v>
      </c>
      <c r="C774" s="48" t="s">
        <v>43</v>
      </c>
      <c r="D774" s="44">
        <v>70930</v>
      </c>
      <c r="E774" s="56">
        <v>44742</v>
      </c>
      <c r="F774" s="48">
        <v>196.24</v>
      </c>
      <c r="G774" s="7">
        <v>44949</v>
      </c>
      <c r="H774" t="s">
        <v>281</v>
      </c>
      <c r="I774" s="32" t="s">
        <v>475</v>
      </c>
      <c r="J774" s="31" t="str">
        <f t="shared" si="12"/>
        <v>70930 44742</v>
      </c>
    </row>
    <row r="775" spans="1:10" x14ac:dyDescent="0.25">
      <c r="A775">
        <v>775</v>
      </c>
      <c r="B775" s="4" t="s">
        <v>205</v>
      </c>
      <c r="C775" s="48" t="s">
        <v>43</v>
      </c>
      <c r="D775" s="44">
        <v>70930</v>
      </c>
      <c r="E775" s="56">
        <v>44772</v>
      </c>
      <c r="F775" s="48">
        <v>196.24</v>
      </c>
      <c r="G775" s="7">
        <v>44949</v>
      </c>
      <c r="H775" t="s">
        <v>281</v>
      </c>
      <c r="I775" s="32" t="s">
        <v>475</v>
      </c>
      <c r="J775" s="31" t="str">
        <f t="shared" si="12"/>
        <v>70930 44772</v>
      </c>
    </row>
    <row r="776" spans="1:10" x14ac:dyDescent="0.25">
      <c r="A776">
        <v>776</v>
      </c>
      <c r="B776" s="4" t="s">
        <v>205</v>
      </c>
      <c r="C776" s="48" t="s">
        <v>44</v>
      </c>
      <c r="D776" s="44">
        <v>66902</v>
      </c>
      <c r="E776" s="56">
        <v>45422</v>
      </c>
      <c r="F776" s="48">
        <v>296.17</v>
      </c>
      <c r="G776" s="7">
        <v>45488</v>
      </c>
      <c r="H776" t="s">
        <v>281</v>
      </c>
      <c r="I776" s="32" t="s">
        <v>475</v>
      </c>
      <c r="J776" s="31" t="str">
        <f t="shared" si="12"/>
        <v>66902 45422</v>
      </c>
    </row>
    <row r="777" spans="1:10" x14ac:dyDescent="0.25">
      <c r="A777">
        <v>777</v>
      </c>
      <c r="B777" s="4" t="s">
        <v>205</v>
      </c>
      <c r="C777" s="48" t="s">
        <v>45</v>
      </c>
      <c r="D777" s="44">
        <v>66614</v>
      </c>
      <c r="E777" s="56">
        <v>45402</v>
      </c>
      <c r="F777" s="48">
        <v>338.95</v>
      </c>
      <c r="G777" s="7">
        <v>45464</v>
      </c>
      <c r="H777" t="s">
        <v>281</v>
      </c>
      <c r="I777" s="32" t="s">
        <v>475</v>
      </c>
      <c r="J777" s="31" t="str">
        <f t="shared" si="12"/>
        <v>66614 45402</v>
      </c>
    </row>
    <row r="778" spans="1:10" x14ac:dyDescent="0.25">
      <c r="A778">
        <v>778</v>
      </c>
      <c r="B778" s="4" t="s">
        <v>205</v>
      </c>
      <c r="C778" s="48" t="s">
        <v>46</v>
      </c>
      <c r="D778" s="44">
        <v>68549</v>
      </c>
      <c r="E778" s="56">
        <v>44571</v>
      </c>
      <c r="F778" s="48">
        <v>390</v>
      </c>
      <c r="G778" s="7">
        <v>44991</v>
      </c>
      <c r="H778" t="s">
        <v>281</v>
      </c>
      <c r="I778" s="32" t="s">
        <v>475</v>
      </c>
      <c r="J778" s="31" t="str">
        <f t="shared" si="12"/>
        <v>68549 44571</v>
      </c>
    </row>
    <row r="779" spans="1:10" x14ac:dyDescent="0.25">
      <c r="A779">
        <v>779</v>
      </c>
      <c r="B779" s="4" t="s">
        <v>205</v>
      </c>
      <c r="C779" s="48" t="s">
        <v>47</v>
      </c>
      <c r="D779" s="44">
        <v>26425</v>
      </c>
      <c r="E779" s="56">
        <v>45402</v>
      </c>
      <c r="F779" s="67">
        <v>1511.11</v>
      </c>
      <c r="G779" s="7">
        <v>45463</v>
      </c>
      <c r="H779" t="s">
        <v>281</v>
      </c>
      <c r="I779" s="32" t="s">
        <v>475</v>
      </c>
      <c r="J779" s="31" t="str">
        <f t="shared" si="12"/>
        <v>26425 45402</v>
      </c>
    </row>
    <row r="780" spans="1:10" x14ac:dyDescent="0.25">
      <c r="A780">
        <v>780</v>
      </c>
      <c r="B780" s="4" t="s">
        <v>205</v>
      </c>
      <c r="C780" s="48" t="s">
        <v>48</v>
      </c>
      <c r="D780" s="44">
        <v>71712</v>
      </c>
      <c r="E780" s="56">
        <v>45392</v>
      </c>
      <c r="F780" s="48">
        <v>198.92</v>
      </c>
      <c r="G780" s="7">
        <v>45464</v>
      </c>
      <c r="H780" t="s">
        <v>281</v>
      </c>
      <c r="I780" s="32" t="s">
        <v>475</v>
      </c>
      <c r="J780" s="31" t="str">
        <f t="shared" si="12"/>
        <v>71712 45392</v>
      </c>
    </row>
    <row r="781" spans="1:10" x14ac:dyDescent="0.25">
      <c r="A781">
        <v>781</v>
      </c>
      <c r="B781" s="4" t="s">
        <v>205</v>
      </c>
      <c r="C781" s="48" t="s">
        <v>49</v>
      </c>
      <c r="D781" s="44">
        <v>69711</v>
      </c>
      <c r="E781" s="56">
        <v>44925</v>
      </c>
      <c r="F781" s="48">
        <v>308.55</v>
      </c>
      <c r="G781" s="7">
        <v>45028</v>
      </c>
      <c r="H781" t="s">
        <v>281</v>
      </c>
      <c r="I781" s="32" t="s">
        <v>475</v>
      </c>
      <c r="J781" s="31" t="str">
        <f t="shared" si="12"/>
        <v>69711 44925</v>
      </c>
    </row>
    <row r="782" spans="1:10" x14ac:dyDescent="0.25">
      <c r="A782">
        <v>782</v>
      </c>
      <c r="B782" s="4" t="s">
        <v>205</v>
      </c>
      <c r="C782" s="48" t="s">
        <v>50</v>
      </c>
      <c r="D782" s="44">
        <v>51560</v>
      </c>
      <c r="E782" s="56">
        <v>45250</v>
      </c>
      <c r="F782" s="48">
        <v>578.54999999999995</v>
      </c>
      <c r="G782" s="7">
        <v>45322</v>
      </c>
      <c r="H782" t="s">
        <v>281</v>
      </c>
      <c r="I782" s="32" t="s">
        <v>475</v>
      </c>
      <c r="J782" s="31" t="str">
        <f t="shared" si="12"/>
        <v>51560 45250</v>
      </c>
    </row>
    <row r="783" spans="1:10" x14ac:dyDescent="0.25">
      <c r="A783">
        <v>783</v>
      </c>
      <c r="B783" s="4" t="s">
        <v>205</v>
      </c>
      <c r="C783" s="48" t="s">
        <v>50</v>
      </c>
      <c r="D783" s="44">
        <v>51560</v>
      </c>
      <c r="E783" s="56">
        <v>45280</v>
      </c>
      <c r="F783" s="48">
        <v>578.54999999999995</v>
      </c>
      <c r="G783" s="7">
        <v>45322</v>
      </c>
      <c r="H783" t="s">
        <v>281</v>
      </c>
      <c r="I783" s="32" t="s">
        <v>475</v>
      </c>
      <c r="J783" s="31" t="str">
        <f t="shared" si="12"/>
        <v>51560 45280</v>
      </c>
    </row>
    <row r="784" spans="1:10" x14ac:dyDescent="0.25">
      <c r="A784">
        <v>784</v>
      </c>
      <c r="B784" s="4" t="s">
        <v>205</v>
      </c>
      <c r="C784" s="48" t="s">
        <v>51</v>
      </c>
      <c r="D784" s="44">
        <v>69288</v>
      </c>
      <c r="E784" s="56">
        <v>44748</v>
      </c>
      <c r="F784" s="48">
        <v>176.8</v>
      </c>
      <c r="G784" s="7">
        <v>45457</v>
      </c>
      <c r="H784" t="s">
        <v>281</v>
      </c>
      <c r="I784" s="32" t="s">
        <v>475</v>
      </c>
      <c r="J784" s="31" t="str">
        <f t="shared" si="12"/>
        <v>69288 44748</v>
      </c>
    </row>
    <row r="785" spans="1:10" x14ac:dyDescent="0.25">
      <c r="A785">
        <v>785</v>
      </c>
      <c r="B785" s="4" t="s">
        <v>205</v>
      </c>
      <c r="C785" s="48" t="s">
        <v>51</v>
      </c>
      <c r="D785" s="44">
        <v>69288</v>
      </c>
      <c r="E785" s="56">
        <v>44840</v>
      </c>
      <c r="F785" s="48">
        <v>6.07</v>
      </c>
      <c r="G785" s="7">
        <v>45457</v>
      </c>
      <c r="H785" t="s">
        <v>281</v>
      </c>
      <c r="I785" s="32" t="s">
        <v>475</v>
      </c>
      <c r="J785" s="31" t="str">
        <f t="shared" si="12"/>
        <v>69288 44840</v>
      </c>
    </row>
    <row r="786" spans="1:10" x14ac:dyDescent="0.25">
      <c r="A786">
        <v>786</v>
      </c>
      <c r="B786" s="4" t="s">
        <v>205</v>
      </c>
      <c r="C786" s="48" t="s">
        <v>52</v>
      </c>
      <c r="D786" s="44">
        <v>69036</v>
      </c>
      <c r="E786" s="56">
        <v>45260</v>
      </c>
      <c r="F786" s="48">
        <v>236.4</v>
      </c>
      <c r="G786" s="7">
        <v>45323</v>
      </c>
      <c r="H786" t="s">
        <v>281</v>
      </c>
      <c r="I786" s="32" t="s">
        <v>475</v>
      </c>
      <c r="J786" s="31" t="str">
        <f t="shared" si="12"/>
        <v>69036 45260</v>
      </c>
    </row>
    <row r="787" spans="1:10" x14ac:dyDescent="0.25">
      <c r="A787">
        <v>787</v>
      </c>
      <c r="B787" s="4" t="s">
        <v>205</v>
      </c>
      <c r="C787" s="48" t="s">
        <v>53</v>
      </c>
      <c r="D787" s="44">
        <v>62359</v>
      </c>
      <c r="E787" s="56">
        <v>45332</v>
      </c>
      <c r="F787" s="48">
        <v>27</v>
      </c>
      <c r="G787" s="7">
        <v>45545</v>
      </c>
      <c r="H787" t="s">
        <v>281</v>
      </c>
      <c r="I787" s="32" t="s">
        <v>475</v>
      </c>
      <c r="J787" s="31" t="str">
        <f t="shared" si="12"/>
        <v>62359 45332</v>
      </c>
    </row>
    <row r="788" spans="1:10" x14ac:dyDescent="0.25">
      <c r="A788">
        <v>788</v>
      </c>
      <c r="B788" s="4" t="s">
        <v>205</v>
      </c>
      <c r="C788" s="48" t="s">
        <v>54</v>
      </c>
      <c r="D788" s="44">
        <v>71867</v>
      </c>
      <c r="E788" s="56">
        <v>45402</v>
      </c>
      <c r="F788" s="48">
        <v>260.27</v>
      </c>
      <c r="G788" s="7">
        <v>45467</v>
      </c>
      <c r="H788" t="s">
        <v>281</v>
      </c>
      <c r="I788" s="32" t="s">
        <v>475</v>
      </c>
      <c r="J788" s="31" t="str">
        <f t="shared" si="12"/>
        <v>71867 45402</v>
      </c>
    </row>
    <row r="789" spans="1:10" x14ac:dyDescent="0.25">
      <c r="A789">
        <v>789</v>
      </c>
      <c r="B789" s="4" t="s">
        <v>205</v>
      </c>
      <c r="C789" s="48" t="s">
        <v>55</v>
      </c>
      <c r="D789" s="44">
        <v>68965</v>
      </c>
      <c r="E789" s="56">
        <v>45168</v>
      </c>
      <c r="F789" s="48">
        <v>659.67</v>
      </c>
      <c r="G789" s="7">
        <v>45253</v>
      </c>
      <c r="H789" t="s">
        <v>281</v>
      </c>
      <c r="I789" s="32" t="s">
        <v>475</v>
      </c>
      <c r="J789" s="31" t="str">
        <f t="shared" si="12"/>
        <v>68965 45168</v>
      </c>
    </row>
    <row r="790" spans="1:10" x14ac:dyDescent="0.25">
      <c r="A790">
        <v>790</v>
      </c>
      <c r="B790" s="4" t="s">
        <v>205</v>
      </c>
      <c r="C790" s="48" t="s">
        <v>56</v>
      </c>
      <c r="D790" s="44">
        <v>71204</v>
      </c>
      <c r="E790" s="56">
        <v>45280</v>
      </c>
      <c r="F790" s="67">
        <v>1423.88</v>
      </c>
      <c r="G790" s="7">
        <v>45323</v>
      </c>
      <c r="H790" t="s">
        <v>281</v>
      </c>
      <c r="I790" s="32" t="s">
        <v>475</v>
      </c>
      <c r="J790" s="31" t="str">
        <f t="shared" si="12"/>
        <v>71204 45280</v>
      </c>
    </row>
    <row r="791" spans="1:10" x14ac:dyDescent="0.25">
      <c r="A791">
        <v>791</v>
      </c>
      <c r="B791" s="4" t="s">
        <v>205</v>
      </c>
      <c r="C791" s="48" t="s">
        <v>57</v>
      </c>
      <c r="D791" s="44">
        <v>52808</v>
      </c>
      <c r="E791" s="56">
        <v>44530</v>
      </c>
      <c r="F791" s="48">
        <v>51.45</v>
      </c>
      <c r="G791" s="7">
        <v>44558</v>
      </c>
      <c r="H791" t="s">
        <v>281</v>
      </c>
      <c r="I791" s="32" t="s">
        <v>475</v>
      </c>
      <c r="J791" s="31" t="str">
        <f t="shared" si="12"/>
        <v>52808 44530</v>
      </c>
    </row>
    <row r="792" spans="1:10" x14ac:dyDescent="0.25">
      <c r="A792">
        <v>792</v>
      </c>
      <c r="B792" s="4" t="s">
        <v>205</v>
      </c>
      <c r="C792" s="48" t="s">
        <v>58</v>
      </c>
      <c r="D792" s="44">
        <v>71268</v>
      </c>
      <c r="E792" s="56">
        <v>45402</v>
      </c>
      <c r="F792" s="48">
        <v>767.32</v>
      </c>
      <c r="G792" s="7">
        <v>45476</v>
      </c>
      <c r="H792" t="s">
        <v>281</v>
      </c>
      <c r="I792" s="32" t="s">
        <v>475</v>
      </c>
      <c r="J792" s="31" t="str">
        <f t="shared" si="12"/>
        <v>71268 45402</v>
      </c>
    </row>
    <row r="793" spans="1:10" x14ac:dyDescent="0.25">
      <c r="A793">
        <v>793</v>
      </c>
      <c r="B793" s="4" t="s">
        <v>205</v>
      </c>
      <c r="C793" s="48" t="s">
        <v>59</v>
      </c>
      <c r="D793" s="44">
        <v>11131</v>
      </c>
      <c r="E793" s="56">
        <v>45407</v>
      </c>
      <c r="F793" s="48">
        <v>270.01</v>
      </c>
      <c r="G793" s="7">
        <v>45476</v>
      </c>
      <c r="H793" t="s">
        <v>281</v>
      </c>
      <c r="I793" s="32" t="s">
        <v>475</v>
      </c>
      <c r="J793" s="31" t="str">
        <f t="shared" si="12"/>
        <v>11131 45407</v>
      </c>
    </row>
    <row r="794" spans="1:10" x14ac:dyDescent="0.25">
      <c r="A794">
        <v>794</v>
      </c>
      <c r="B794" s="4" t="s">
        <v>205</v>
      </c>
      <c r="C794" s="48" t="s">
        <v>60</v>
      </c>
      <c r="D794" s="44">
        <v>29115</v>
      </c>
      <c r="E794" s="56">
        <v>44814</v>
      </c>
      <c r="F794" s="48">
        <v>180.68</v>
      </c>
      <c r="G794" s="7">
        <v>45160</v>
      </c>
      <c r="H794" t="s">
        <v>281</v>
      </c>
      <c r="I794" s="32" t="s">
        <v>475</v>
      </c>
      <c r="J794" s="31" t="str">
        <f t="shared" si="12"/>
        <v>29115 44814</v>
      </c>
    </row>
    <row r="795" spans="1:10" x14ac:dyDescent="0.25">
      <c r="A795">
        <v>795</v>
      </c>
      <c r="B795" s="4" t="s">
        <v>205</v>
      </c>
      <c r="C795" s="48" t="s">
        <v>61</v>
      </c>
      <c r="D795" s="44">
        <v>24996</v>
      </c>
      <c r="E795" s="56">
        <v>45301</v>
      </c>
      <c r="F795" s="48">
        <v>788.88</v>
      </c>
      <c r="G795" s="7">
        <v>45323</v>
      </c>
      <c r="H795" t="s">
        <v>281</v>
      </c>
      <c r="I795" s="32" t="s">
        <v>475</v>
      </c>
      <c r="J795" s="31" t="str">
        <f t="shared" si="12"/>
        <v>24996 45301</v>
      </c>
    </row>
    <row r="796" spans="1:10" x14ac:dyDescent="0.25">
      <c r="A796">
        <v>796</v>
      </c>
      <c r="B796" s="4" t="s">
        <v>205</v>
      </c>
      <c r="C796" s="48" t="s">
        <v>62</v>
      </c>
      <c r="D796" s="44">
        <v>69382</v>
      </c>
      <c r="E796" s="56">
        <v>45036</v>
      </c>
      <c r="F796" s="48">
        <v>654.16</v>
      </c>
      <c r="G796" s="7">
        <v>45160</v>
      </c>
      <c r="H796" t="s">
        <v>281</v>
      </c>
      <c r="I796" s="32" t="s">
        <v>475</v>
      </c>
      <c r="J796" s="31" t="str">
        <f t="shared" si="12"/>
        <v>69382 45036</v>
      </c>
    </row>
    <row r="797" spans="1:10" x14ac:dyDescent="0.25">
      <c r="A797">
        <v>797</v>
      </c>
      <c r="B797" s="4" t="s">
        <v>205</v>
      </c>
      <c r="C797" s="48" t="s">
        <v>63</v>
      </c>
      <c r="D797" s="44">
        <v>61410</v>
      </c>
      <c r="E797" s="56">
        <v>45056</v>
      </c>
      <c r="F797" s="48">
        <v>274.42</v>
      </c>
      <c r="G797" s="7">
        <v>45090</v>
      </c>
      <c r="H797" t="s">
        <v>281</v>
      </c>
      <c r="I797" s="32" t="s">
        <v>475</v>
      </c>
      <c r="J797" s="31" t="str">
        <f t="shared" si="12"/>
        <v>61410 45056</v>
      </c>
    </row>
    <row r="798" spans="1:10" x14ac:dyDescent="0.25">
      <c r="A798">
        <v>798</v>
      </c>
      <c r="B798" s="4" t="s">
        <v>205</v>
      </c>
      <c r="C798" s="48" t="s">
        <v>64</v>
      </c>
      <c r="D798" s="44">
        <v>66673</v>
      </c>
      <c r="E798" s="56">
        <v>44255</v>
      </c>
      <c r="F798" s="48">
        <v>632.32000000000005</v>
      </c>
      <c r="G798" s="7">
        <v>44467</v>
      </c>
      <c r="H798" t="s">
        <v>281</v>
      </c>
      <c r="I798" s="32" t="s">
        <v>475</v>
      </c>
      <c r="J798" s="31" t="str">
        <f t="shared" si="12"/>
        <v>66673 44255</v>
      </c>
    </row>
    <row r="799" spans="1:10" x14ac:dyDescent="0.25">
      <c r="A799">
        <v>799</v>
      </c>
      <c r="B799" s="4" t="s">
        <v>205</v>
      </c>
      <c r="C799" s="48" t="s">
        <v>65</v>
      </c>
      <c r="D799" s="44">
        <v>67072</v>
      </c>
      <c r="E799" s="56">
        <v>44925</v>
      </c>
      <c r="F799" s="48">
        <v>483.33</v>
      </c>
      <c r="G799" s="7">
        <v>45027</v>
      </c>
      <c r="H799" t="s">
        <v>281</v>
      </c>
      <c r="I799" s="32" t="s">
        <v>475</v>
      </c>
      <c r="J799" s="31" t="str">
        <f t="shared" si="12"/>
        <v>67072 44925</v>
      </c>
    </row>
    <row r="800" spans="1:10" x14ac:dyDescent="0.25">
      <c r="A800">
        <v>800</v>
      </c>
      <c r="B800" s="4" t="s">
        <v>205</v>
      </c>
      <c r="C800" s="48" t="s">
        <v>66</v>
      </c>
      <c r="D800" s="44">
        <v>10253</v>
      </c>
      <c r="E800" s="56">
        <v>45412</v>
      </c>
      <c r="F800" s="67">
        <v>3318.87</v>
      </c>
      <c r="G800" s="7">
        <v>45488</v>
      </c>
      <c r="H800" t="s">
        <v>281</v>
      </c>
      <c r="I800" s="32" t="s">
        <v>475</v>
      </c>
      <c r="J800" s="31" t="str">
        <f t="shared" si="12"/>
        <v>10253 45412</v>
      </c>
    </row>
    <row r="801" spans="1:10" x14ac:dyDescent="0.25">
      <c r="A801">
        <v>801</v>
      </c>
      <c r="B801" s="4" t="s">
        <v>205</v>
      </c>
      <c r="C801" s="48" t="s">
        <v>67</v>
      </c>
      <c r="D801" s="44">
        <v>43005</v>
      </c>
      <c r="E801" s="56">
        <v>45412</v>
      </c>
      <c r="F801" s="48">
        <v>293.19</v>
      </c>
      <c r="G801" s="7">
        <v>45488</v>
      </c>
      <c r="H801" t="s">
        <v>281</v>
      </c>
      <c r="I801" s="32" t="s">
        <v>475</v>
      </c>
      <c r="J801" s="31" t="str">
        <f t="shared" si="12"/>
        <v>43005 45412</v>
      </c>
    </row>
    <row r="802" spans="1:10" x14ac:dyDescent="0.25">
      <c r="A802">
        <v>802</v>
      </c>
      <c r="B802" s="4" t="s">
        <v>205</v>
      </c>
      <c r="C802" s="48" t="s">
        <v>68</v>
      </c>
      <c r="D802" s="44">
        <v>27180</v>
      </c>
      <c r="E802" s="56">
        <v>44428</v>
      </c>
      <c r="F802" s="48">
        <v>662.62</v>
      </c>
      <c r="G802" s="7">
        <v>44526</v>
      </c>
      <c r="H802" t="s">
        <v>281</v>
      </c>
      <c r="I802" s="32" t="s">
        <v>475</v>
      </c>
      <c r="J802" s="31" t="str">
        <f t="shared" si="12"/>
        <v>27180 44428</v>
      </c>
    </row>
    <row r="803" spans="1:10" x14ac:dyDescent="0.25">
      <c r="A803">
        <v>803</v>
      </c>
      <c r="B803" s="4" t="s">
        <v>205</v>
      </c>
      <c r="C803" s="48" t="s">
        <v>69</v>
      </c>
      <c r="D803" s="44">
        <v>63252</v>
      </c>
      <c r="E803" s="56">
        <v>44956</v>
      </c>
      <c r="F803" s="48">
        <v>306.83999999999997</v>
      </c>
      <c r="G803" s="7">
        <v>45027</v>
      </c>
      <c r="H803" t="s">
        <v>281</v>
      </c>
      <c r="I803" s="32" t="s">
        <v>475</v>
      </c>
      <c r="J803" s="31" t="str">
        <f t="shared" si="12"/>
        <v>63252 44956</v>
      </c>
    </row>
    <row r="804" spans="1:10" x14ac:dyDescent="0.25">
      <c r="A804">
        <v>804</v>
      </c>
      <c r="B804" s="4" t="s">
        <v>205</v>
      </c>
      <c r="C804" s="48" t="s">
        <v>70</v>
      </c>
      <c r="D804" s="44">
        <v>29225</v>
      </c>
      <c r="E804" s="56">
        <v>45412</v>
      </c>
      <c r="F804" s="48">
        <v>175.38</v>
      </c>
      <c r="G804" s="7">
        <v>45488</v>
      </c>
      <c r="H804" t="s">
        <v>281</v>
      </c>
      <c r="I804" s="32" t="s">
        <v>475</v>
      </c>
      <c r="J804" s="31" t="str">
        <f t="shared" si="12"/>
        <v>29225 45412</v>
      </c>
    </row>
    <row r="805" spans="1:10" x14ac:dyDescent="0.25">
      <c r="A805">
        <v>805</v>
      </c>
      <c r="B805" s="4" t="s">
        <v>205</v>
      </c>
      <c r="C805" s="48" t="s">
        <v>71</v>
      </c>
      <c r="D805" s="44">
        <v>14084</v>
      </c>
      <c r="E805" s="56">
        <v>45280</v>
      </c>
      <c r="F805" s="67">
        <v>3650.79</v>
      </c>
      <c r="G805" s="7">
        <v>45323</v>
      </c>
      <c r="H805" t="s">
        <v>281</v>
      </c>
      <c r="I805" s="32" t="s">
        <v>475</v>
      </c>
      <c r="J805" s="31" t="str">
        <f t="shared" si="12"/>
        <v>14084 45280</v>
      </c>
    </row>
    <row r="806" spans="1:10" x14ac:dyDescent="0.25">
      <c r="A806">
        <v>806</v>
      </c>
      <c r="B806" s="4" t="s">
        <v>205</v>
      </c>
      <c r="C806" s="48" t="s">
        <v>72</v>
      </c>
      <c r="D806" s="44">
        <v>61359</v>
      </c>
      <c r="E806" s="56">
        <v>45412</v>
      </c>
      <c r="F806" s="48">
        <v>434.09</v>
      </c>
      <c r="G806" s="7">
        <v>45488</v>
      </c>
      <c r="H806" t="s">
        <v>281</v>
      </c>
      <c r="I806" s="32" t="s">
        <v>475</v>
      </c>
      <c r="J806" s="31" t="str">
        <f t="shared" si="12"/>
        <v>61359 45412</v>
      </c>
    </row>
    <row r="807" spans="1:10" x14ac:dyDescent="0.25">
      <c r="A807">
        <v>807</v>
      </c>
      <c r="B807" s="4" t="s">
        <v>205</v>
      </c>
      <c r="C807" s="48" t="s">
        <v>73</v>
      </c>
      <c r="D807" s="44">
        <v>69849</v>
      </c>
      <c r="E807" s="56">
        <v>45005</v>
      </c>
      <c r="F807" s="48">
        <v>497.49</v>
      </c>
      <c r="G807" s="7">
        <v>45084</v>
      </c>
      <c r="H807" t="s">
        <v>281</v>
      </c>
      <c r="I807" s="32" t="s">
        <v>475</v>
      </c>
      <c r="J807" s="31" t="str">
        <f t="shared" si="12"/>
        <v>69849 45005</v>
      </c>
    </row>
    <row r="808" spans="1:10" x14ac:dyDescent="0.25">
      <c r="A808">
        <v>808</v>
      </c>
      <c r="B808" s="4" t="s">
        <v>205</v>
      </c>
      <c r="C808" s="48" t="s">
        <v>74</v>
      </c>
      <c r="D808" s="44">
        <v>64739</v>
      </c>
      <c r="E808" s="56">
        <v>45371</v>
      </c>
      <c r="F808" s="48">
        <v>329.88</v>
      </c>
      <c r="G808" s="7">
        <v>45464</v>
      </c>
      <c r="H808" t="s">
        <v>281</v>
      </c>
      <c r="I808" s="32" t="s">
        <v>475</v>
      </c>
      <c r="J808" s="31" t="str">
        <f t="shared" si="12"/>
        <v>64739 45371</v>
      </c>
    </row>
    <row r="809" spans="1:10" x14ac:dyDescent="0.25">
      <c r="A809">
        <v>809</v>
      </c>
      <c r="B809" s="4" t="s">
        <v>205</v>
      </c>
      <c r="C809" s="48" t="s">
        <v>75</v>
      </c>
      <c r="D809" s="44">
        <v>41666</v>
      </c>
      <c r="E809" s="56">
        <v>45392</v>
      </c>
      <c r="F809" s="48">
        <v>870.46</v>
      </c>
      <c r="G809" s="7">
        <v>45463</v>
      </c>
      <c r="H809" t="s">
        <v>281</v>
      </c>
      <c r="I809" s="32" t="s">
        <v>475</v>
      </c>
      <c r="J809" s="31" t="str">
        <f t="shared" si="12"/>
        <v>41666 45392</v>
      </c>
    </row>
    <row r="810" spans="1:10" x14ac:dyDescent="0.25">
      <c r="A810">
        <v>810</v>
      </c>
      <c r="B810" s="4" t="s">
        <v>205</v>
      </c>
      <c r="C810" s="48" t="s">
        <v>76</v>
      </c>
      <c r="D810" s="44">
        <v>26579</v>
      </c>
      <c r="E810" s="56">
        <v>45245</v>
      </c>
      <c r="F810" s="48">
        <v>824.8</v>
      </c>
      <c r="G810" s="7">
        <v>45322</v>
      </c>
      <c r="H810" t="s">
        <v>281</v>
      </c>
      <c r="I810" s="32" t="s">
        <v>475</v>
      </c>
      <c r="J810" s="31" t="str">
        <f t="shared" si="12"/>
        <v>26579 45245</v>
      </c>
    </row>
    <row r="811" spans="1:10" x14ac:dyDescent="0.25">
      <c r="A811">
        <v>811</v>
      </c>
      <c r="B811" s="4" t="s">
        <v>205</v>
      </c>
      <c r="C811" s="48" t="s">
        <v>76</v>
      </c>
      <c r="D811" s="44">
        <v>26579</v>
      </c>
      <c r="E811" s="56">
        <v>45275</v>
      </c>
      <c r="F811" s="48">
        <v>824.8</v>
      </c>
      <c r="G811" s="7">
        <v>45322</v>
      </c>
      <c r="H811" t="s">
        <v>281</v>
      </c>
      <c r="I811" s="32" t="s">
        <v>475</v>
      </c>
      <c r="J811" s="31" t="str">
        <f t="shared" si="12"/>
        <v>26579 45275</v>
      </c>
    </row>
    <row r="812" spans="1:10" x14ac:dyDescent="0.25">
      <c r="A812">
        <v>812</v>
      </c>
      <c r="B812" s="4" t="s">
        <v>205</v>
      </c>
      <c r="C812" s="48" t="s">
        <v>77</v>
      </c>
      <c r="D812" s="44">
        <v>61103</v>
      </c>
      <c r="E812" s="56">
        <v>45402</v>
      </c>
      <c r="F812" s="48">
        <v>300.85000000000002</v>
      </c>
      <c r="G812" s="7">
        <v>45464</v>
      </c>
      <c r="H812" t="s">
        <v>281</v>
      </c>
      <c r="I812" s="32" t="s">
        <v>475</v>
      </c>
      <c r="J812" s="31" t="str">
        <f t="shared" si="12"/>
        <v>61103 45402</v>
      </c>
    </row>
    <row r="813" spans="1:10" x14ac:dyDescent="0.25">
      <c r="A813">
        <v>813</v>
      </c>
      <c r="B813" s="4" t="s">
        <v>205</v>
      </c>
      <c r="C813" s="48" t="s">
        <v>78</v>
      </c>
      <c r="D813" s="44">
        <v>52980</v>
      </c>
      <c r="E813" s="56">
        <v>45209</v>
      </c>
      <c r="F813" s="48">
        <v>422.21</v>
      </c>
      <c r="G813" s="7">
        <v>45231</v>
      </c>
      <c r="H813" t="s">
        <v>281</v>
      </c>
      <c r="I813" s="32" t="s">
        <v>475</v>
      </c>
      <c r="J813" s="31" t="str">
        <f t="shared" si="12"/>
        <v>52980 45209</v>
      </c>
    </row>
    <row r="814" spans="1:10" x14ac:dyDescent="0.25">
      <c r="A814">
        <v>814</v>
      </c>
      <c r="B814" s="4" t="s">
        <v>205</v>
      </c>
      <c r="C814" s="48" t="s">
        <v>79</v>
      </c>
      <c r="D814" s="44">
        <v>64232</v>
      </c>
      <c r="E814" s="56">
        <v>45412</v>
      </c>
      <c r="F814" s="48">
        <v>296.24</v>
      </c>
      <c r="G814" s="7">
        <v>45476</v>
      </c>
      <c r="H814" t="s">
        <v>281</v>
      </c>
      <c r="I814" s="32" t="s">
        <v>475</v>
      </c>
      <c r="J814" s="31" t="str">
        <f t="shared" si="12"/>
        <v>64232 45412</v>
      </c>
    </row>
    <row r="815" spans="1:10" x14ac:dyDescent="0.25">
      <c r="A815">
        <v>815</v>
      </c>
      <c r="B815" s="4" t="s">
        <v>205</v>
      </c>
      <c r="C815" s="48" t="s">
        <v>79</v>
      </c>
      <c r="D815" s="44">
        <v>64232</v>
      </c>
      <c r="E815" s="56">
        <v>45351</v>
      </c>
      <c r="F815" s="48">
        <v>296.24</v>
      </c>
      <c r="G815" s="7">
        <v>45464</v>
      </c>
      <c r="H815" t="s">
        <v>281</v>
      </c>
      <c r="I815" s="32" t="s">
        <v>475</v>
      </c>
      <c r="J815" s="31" t="str">
        <f t="shared" si="12"/>
        <v>64232 45351</v>
      </c>
    </row>
    <row r="816" spans="1:10" x14ac:dyDescent="0.25">
      <c r="A816">
        <v>816</v>
      </c>
      <c r="B816" s="4" t="s">
        <v>205</v>
      </c>
      <c r="C816" s="48" t="s">
        <v>79</v>
      </c>
      <c r="D816" s="44">
        <v>64232</v>
      </c>
      <c r="E816" s="56">
        <v>45381</v>
      </c>
      <c r="F816" s="48">
        <v>296.24</v>
      </c>
      <c r="G816" s="7">
        <v>45477</v>
      </c>
      <c r="H816" t="s">
        <v>281</v>
      </c>
      <c r="I816" s="32" t="s">
        <v>475</v>
      </c>
      <c r="J816" s="31" t="str">
        <f t="shared" si="12"/>
        <v>64232 45381</v>
      </c>
    </row>
    <row r="817" spans="1:10" x14ac:dyDescent="0.25">
      <c r="A817">
        <v>817</v>
      </c>
      <c r="B817" s="4" t="s">
        <v>205</v>
      </c>
      <c r="C817" s="48" t="s">
        <v>80</v>
      </c>
      <c r="D817" s="44">
        <v>64022</v>
      </c>
      <c r="E817" s="56">
        <v>45290</v>
      </c>
      <c r="F817" s="48">
        <v>625.58000000000004</v>
      </c>
      <c r="G817" s="7">
        <v>45323</v>
      </c>
      <c r="H817" t="s">
        <v>281</v>
      </c>
      <c r="I817" s="32" t="s">
        <v>475</v>
      </c>
      <c r="J817" s="31" t="str">
        <f t="shared" si="12"/>
        <v>64022 45290</v>
      </c>
    </row>
    <row r="818" spans="1:10" x14ac:dyDescent="0.25">
      <c r="A818">
        <v>818</v>
      </c>
      <c r="B818" s="4" t="s">
        <v>205</v>
      </c>
      <c r="C818" s="48" t="s">
        <v>81</v>
      </c>
      <c r="D818" s="44">
        <v>56024</v>
      </c>
      <c r="E818" s="56">
        <v>45015</v>
      </c>
      <c r="F818" s="48">
        <v>250.82</v>
      </c>
      <c r="G818" s="7">
        <v>45169</v>
      </c>
      <c r="H818" t="s">
        <v>281</v>
      </c>
      <c r="I818" s="32" t="s">
        <v>475</v>
      </c>
      <c r="J818" s="31" t="str">
        <f t="shared" si="12"/>
        <v>56024 45015</v>
      </c>
    </row>
    <row r="819" spans="1:10" x14ac:dyDescent="0.25">
      <c r="A819">
        <v>819</v>
      </c>
      <c r="B819" s="4" t="s">
        <v>205</v>
      </c>
      <c r="C819" s="48" t="s">
        <v>82</v>
      </c>
      <c r="D819" s="44">
        <v>66490</v>
      </c>
      <c r="E819" s="56">
        <v>45127</v>
      </c>
      <c r="F819" s="48">
        <v>270.14999999999998</v>
      </c>
      <c r="G819" s="7">
        <v>45239</v>
      </c>
      <c r="H819" t="s">
        <v>281</v>
      </c>
      <c r="I819" s="32" t="s">
        <v>475</v>
      </c>
      <c r="J819" s="31" t="str">
        <f t="shared" si="12"/>
        <v>66490 45127</v>
      </c>
    </row>
    <row r="820" spans="1:10" x14ac:dyDescent="0.25">
      <c r="A820">
        <v>820</v>
      </c>
      <c r="B820" s="4" t="s">
        <v>205</v>
      </c>
      <c r="C820" s="48" t="s">
        <v>82</v>
      </c>
      <c r="D820" s="44">
        <v>66490</v>
      </c>
      <c r="E820" s="56">
        <v>45097</v>
      </c>
      <c r="F820" s="48">
        <v>270.14999999999998</v>
      </c>
      <c r="G820" s="7">
        <v>45239</v>
      </c>
      <c r="H820" t="s">
        <v>281</v>
      </c>
      <c r="I820" s="32" t="s">
        <v>475</v>
      </c>
      <c r="J820" s="31" t="str">
        <f t="shared" si="12"/>
        <v>66490 45097</v>
      </c>
    </row>
    <row r="821" spans="1:10" x14ac:dyDescent="0.25">
      <c r="A821">
        <v>821</v>
      </c>
      <c r="B821" s="4" t="s">
        <v>205</v>
      </c>
      <c r="C821" s="48" t="s">
        <v>83</v>
      </c>
      <c r="D821" s="44">
        <v>57111</v>
      </c>
      <c r="E821" s="56">
        <v>45250</v>
      </c>
      <c r="F821" s="48">
        <v>250.82</v>
      </c>
      <c r="G821" s="7">
        <v>45323</v>
      </c>
      <c r="H821" t="s">
        <v>281</v>
      </c>
      <c r="I821" s="32" t="s">
        <v>475</v>
      </c>
      <c r="J821" s="31" t="str">
        <f t="shared" si="12"/>
        <v>57111 45250</v>
      </c>
    </row>
    <row r="822" spans="1:10" x14ac:dyDescent="0.25">
      <c r="A822">
        <v>822</v>
      </c>
      <c r="B822" s="4" t="s">
        <v>205</v>
      </c>
      <c r="C822" s="48" t="s">
        <v>84</v>
      </c>
      <c r="D822" s="44">
        <v>69069</v>
      </c>
      <c r="E822" s="56">
        <v>45412</v>
      </c>
      <c r="F822" s="48">
        <v>296.93</v>
      </c>
      <c r="G822" s="7">
        <v>45488</v>
      </c>
      <c r="H822" t="s">
        <v>281</v>
      </c>
      <c r="I822" s="32" t="s">
        <v>475</v>
      </c>
      <c r="J822" s="31" t="str">
        <f t="shared" si="12"/>
        <v>69069 45412</v>
      </c>
    </row>
    <row r="823" spans="1:10" x14ac:dyDescent="0.25">
      <c r="A823">
        <v>823</v>
      </c>
      <c r="B823" s="4" t="s">
        <v>205</v>
      </c>
      <c r="C823" s="48" t="s">
        <v>85</v>
      </c>
      <c r="D823" s="44">
        <v>67982</v>
      </c>
      <c r="E823" s="56">
        <v>44449</v>
      </c>
      <c r="F823" s="48">
        <v>646.39</v>
      </c>
      <c r="G823" s="7">
        <v>44558</v>
      </c>
      <c r="H823" t="s">
        <v>281</v>
      </c>
      <c r="I823" s="32" t="s">
        <v>475</v>
      </c>
      <c r="J823" s="31" t="str">
        <f t="shared" si="12"/>
        <v>67982 44449</v>
      </c>
    </row>
    <row r="824" spans="1:10" x14ac:dyDescent="0.25">
      <c r="A824">
        <v>824</v>
      </c>
      <c r="B824" s="4" t="s">
        <v>205</v>
      </c>
      <c r="C824" s="48" t="s">
        <v>86</v>
      </c>
      <c r="D824" s="44">
        <v>70479</v>
      </c>
      <c r="E824" s="56">
        <v>45171</v>
      </c>
      <c r="F824" s="48">
        <v>249.3</v>
      </c>
      <c r="G824" s="7">
        <v>45261</v>
      </c>
      <c r="H824" t="s">
        <v>281</v>
      </c>
      <c r="I824" s="32" t="s">
        <v>475</v>
      </c>
      <c r="J824" s="31" t="str">
        <f t="shared" si="12"/>
        <v>70479 45171</v>
      </c>
    </row>
    <row r="825" spans="1:10" x14ac:dyDescent="0.25">
      <c r="A825">
        <v>825</v>
      </c>
      <c r="B825" s="4" t="s">
        <v>205</v>
      </c>
      <c r="C825" s="48" t="s">
        <v>87</v>
      </c>
      <c r="D825" s="44">
        <v>70168</v>
      </c>
      <c r="E825" s="56">
        <v>44793</v>
      </c>
      <c r="F825" s="48">
        <v>293.67</v>
      </c>
      <c r="G825" s="7">
        <v>44925</v>
      </c>
      <c r="H825" t="s">
        <v>281</v>
      </c>
      <c r="I825" s="32" t="s">
        <v>475</v>
      </c>
      <c r="J825" s="31" t="str">
        <f t="shared" si="12"/>
        <v>70168 44793</v>
      </c>
    </row>
    <row r="826" spans="1:10" x14ac:dyDescent="0.25">
      <c r="A826">
        <v>826</v>
      </c>
      <c r="B826" s="4" t="s">
        <v>205</v>
      </c>
      <c r="C826" s="48" t="s">
        <v>88</v>
      </c>
      <c r="D826" s="44">
        <v>51640</v>
      </c>
      <c r="E826" s="56">
        <v>45371</v>
      </c>
      <c r="F826" s="48">
        <v>274.97000000000003</v>
      </c>
      <c r="G826" s="7">
        <v>45463</v>
      </c>
      <c r="H826" t="s">
        <v>281</v>
      </c>
      <c r="I826" s="32" t="s">
        <v>475</v>
      </c>
      <c r="J826" s="31" t="str">
        <f t="shared" si="12"/>
        <v>51640 45371</v>
      </c>
    </row>
    <row r="827" spans="1:10" x14ac:dyDescent="0.25">
      <c r="A827">
        <v>827</v>
      </c>
      <c r="B827" s="4" t="s">
        <v>205</v>
      </c>
      <c r="C827" s="48" t="s">
        <v>88</v>
      </c>
      <c r="D827" s="44">
        <v>51640</v>
      </c>
      <c r="E827" s="56">
        <v>45402</v>
      </c>
      <c r="F827" s="48">
        <v>274.97000000000003</v>
      </c>
      <c r="G827" s="7">
        <v>45463</v>
      </c>
      <c r="H827" t="s">
        <v>281</v>
      </c>
      <c r="I827" s="32" t="s">
        <v>475</v>
      </c>
      <c r="J827" s="31" t="str">
        <f t="shared" si="12"/>
        <v>51640 45402</v>
      </c>
    </row>
    <row r="828" spans="1:10" x14ac:dyDescent="0.25">
      <c r="A828">
        <v>828</v>
      </c>
      <c r="B828" s="4" t="s">
        <v>205</v>
      </c>
      <c r="C828" s="48" t="s">
        <v>89</v>
      </c>
      <c r="D828" s="44">
        <v>67939</v>
      </c>
      <c r="E828" s="56">
        <v>44824</v>
      </c>
      <c r="F828" s="48">
        <v>198.61</v>
      </c>
      <c r="G828" s="7">
        <v>44949</v>
      </c>
      <c r="H828" t="s">
        <v>281</v>
      </c>
      <c r="I828" s="32" t="s">
        <v>475</v>
      </c>
      <c r="J828" s="31" t="str">
        <f t="shared" si="12"/>
        <v>67939 44824</v>
      </c>
    </row>
    <row r="829" spans="1:10" x14ac:dyDescent="0.25">
      <c r="A829">
        <v>829</v>
      </c>
      <c r="B829" s="4" t="s">
        <v>205</v>
      </c>
      <c r="C829" s="48" t="s">
        <v>90</v>
      </c>
      <c r="D829" s="44">
        <v>71164</v>
      </c>
      <c r="E829" s="56">
        <v>45280</v>
      </c>
      <c r="F829" s="48">
        <v>270.11</v>
      </c>
      <c r="G829" s="7">
        <v>45323</v>
      </c>
      <c r="H829" t="s">
        <v>281</v>
      </c>
      <c r="I829" s="32" t="s">
        <v>475</v>
      </c>
      <c r="J829" s="31" t="str">
        <f t="shared" si="12"/>
        <v>71164 45280</v>
      </c>
    </row>
    <row r="830" spans="1:10" x14ac:dyDescent="0.25">
      <c r="A830">
        <v>830</v>
      </c>
      <c r="B830" s="4" t="s">
        <v>205</v>
      </c>
      <c r="C830" s="48" t="s">
        <v>91</v>
      </c>
      <c r="D830" s="44">
        <v>56191</v>
      </c>
      <c r="E830" s="56">
        <v>44165</v>
      </c>
      <c r="F830" s="48">
        <v>46.46</v>
      </c>
      <c r="G830" s="7">
        <v>44217</v>
      </c>
      <c r="H830" t="s">
        <v>281</v>
      </c>
      <c r="I830" s="32" t="s">
        <v>475</v>
      </c>
      <c r="J830" s="31" t="str">
        <f t="shared" si="12"/>
        <v>56191 44165</v>
      </c>
    </row>
    <row r="831" spans="1:10" x14ac:dyDescent="0.25">
      <c r="A831">
        <v>831</v>
      </c>
      <c r="B831" s="4" t="s">
        <v>205</v>
      </c>
      <c r="C831" s="48" t="s">
        <v>92</v>
      </c>
      <c r="D831" s="44">
        <v>69878</v>
      </c>
      <c r="E831" s="56">
        <v>44915</v>
      </c>
      <c r="F831" s="48">
        <v>175.86</v>
      </c>
      <c r="G831" s="7">
        <v>45028</v>
      </c>
      <c r="H831" t="s">
        <v>281</v>
      </c>
      <c r="I831" s="32" t="s">
        <v>475</v>
      </c>
      <c r="J831" s="31" t="str">
        <f t="shared" si="12"/>
        <v>69878 44915</v>
      </c>
    </row>
    <row r="832" spans="1:10" x14ac:dyDescent="0.25">
      <c r="A832">
        <v>832</v>
      </c>
      <c r="B832" s="4" t="s">
        <v>205</v>
      </c>
      <c r="C832" s="48" t="s">
        <v>92</v>
      </c>
      <c r="D832" s="44">
        <v>69899</v>
      </c>
      <c r="E832" s="56">
        <v>44671</v>
      </c>
      <c r="F832" s="48">
        <v>5.35</v>
      </c>
      <c r="G832" s="7">
        <v>45314</v>
      </c>
      <c r="H832" t="s">
        <v>281</v>
      </c>
      <c r="I832" s="32" t="s">
        <v>475</v>
      </c>
      <c r="J832" s="31" t="str">
        <f t="shared" si="12"/>
        <v>69899 44671</v>
      </c>
    </row>
    <row r="833" spans="1:10" x14ac:dyDescent="0.25">
      <c r="A833">
        <v>833</v>
      </c>
      <c r="B833" s="4" t="s">
        <v>205</v>
      </c>
      <c r="C833" s="48" t="s">
        <v>93</v>
      </c>
      <c r="D833" s="44">
        <v>71787</v>
      </c>
      <c r="E833" s="56">
        <v>45402</v>
      </c>
      <c r="F833" s="48">
        <v>215.14</v>
      </c>
      <c r="G833" s="7">
        <v>45464</v>
      </c>
      <c r="H833" t="s">
        <v>281</v>
      </c>
      <c r="I833" s="32" t="s">
        <v>475</v>
      </c>
      <c r="J833" s="31" t="str">
        <f t="shared" si="12"/>
        <v>71787 45402</v>
      </c>
    </row>
    <row r="834" spans="1:10" x14ac:dyDescent="0.25">
      <c r="A834">
        <v>834</v>
      </c>
      <c r="B834" s="4" t="s">
        <v>205</v>
      </c>
      <c r="C834" s="48" t="s">
        <v>93</v>
      </c>
      <c r="D834" s="44">
        <v>71787</v>
      </c>
      <c r="E834" s="56">
        <v>45371</v>
      </c>
      <c r="F834" s="48">
        <v>215.14</v>
      </c>
      <c r="G834" s="7">
        <v>45464</v>
      </c>
      <c r="H834" t="s">
        <v>281</v>
      </c>
      <c r="I834" s="32" t="s">
        <v>475</v>
      </c>
      <c r="J834" s="31" t="str">
        <f t="shared" ref="J834:J866" si="13">_xlfn.CONCAT(D834," ",E834)</f>
        <v>71787 45371</v>
      </c>
    </row>
    <row r="835" spans="1:10" x14ac:dyDescent="0.25">
      <c r="A835">
        <v>835</v>
      </c>
      <c r="B835" s="4" t="s">
        <v>205</v>
      </c>
      <c r="C835" s="48" t="s">
        <v>94</v>
      </c>
      <c r="D835" s="44">
        <v>66555</v>
      </c>
      <c r="E835" s="56">
        <v>44226</v>
      </c>
      <c r="F835" s="48">
        <v>180.68</v>
      </c>
      <c r="G835" s="7">
        <v>44700</v>
      </c>
      <c r="H835" t="s">
        <v>281</v>
      </c>
      <c r="I835" s="32" t="s">
        <v>475</v>
      </c>
      <c r="J835" s="31" t="str">
        <f t="shared" si="13"/>
        <v>66555 44226</v>
      </c>
    </row>
    <row r="836" spans="1:10" x14ac:dyDescent="0.25">
      <c r="A836">
        <v>836</v>
      </c>
      <c r="B836" s="4" t="s">
        <v>205</v>
      </c>
      <c r="C836" s="48" t="s">
        <v>95</v>
      </c>
      <c r="D836" s="44">
        <v>68907</v>
      </c>
      <c r="E836" s="56">
        <v>44946</v>
      </c>
      <c r="F836" s="48">
        <v>256.11</v>
      </c>
      <c r="G836" s="7">
        <v>45022</v>
      </c>
      <c r="H836" t="s">
        <v>281</v>
      </c>
      <c r="I836" s="32" t="s">
        <v>475</v>
      </c>
      <c r="J836" s="31" t="str">
        <f t="shared" si="13"/>
        <v>68907 44946</v>
      </c>
    </row>
    <row r="837" spans="1:10" x14ac:dyDescent="0.25">
      <c r="A837">
        <v>837</v>
      </c>
      <c r="B837" s="4" t="s">
        <v>205</v>
      </c>
      <c r="C837" s="48" t="s">
        <v>95</v>
      </c>
      <c r="D837" s="44">
        <v>68907</v>
      </c>
      <c r="E837" s="56">
        <v>44915</v>
      </c>
      <c r="F837" s="48">
        <v>272.91000000000003</v>
      </c>
      <c r="G837" s="7">
        <v>45022</v>
      </c>
      <c r="H837" t="s">
        <v>281</v>
      </c>
      <c r="I837" s="32" t="s">
        <v>475</v>
      </c>
      <c r="J837" s="31" t="str">
        <f t="shared" si="13"/>
        <v>68907 44915</v>
      </c>
    </row>
    <row r="838" spans="1:10" x14ac:dyDescent="0.25">
      <c r="A838">
        <v>838</v>
      </c>
      <c r="B838" s="4" t="s">
        <v>205</v>
      </c>
      <c r="C838" s="48" t="s">
        <v>96</v>
      </c>
      <c r="D838" s="44">
        <v>67206</v>
      </c>
      <c r="E838" s="56">
        <v>44711</v>
      </c>
      <c r="F838" s="48">
        <v>628.61</v>
      </c>
      <c r="G838" s="7">
        <v>44785</v>
      </c>
      <c r="H838" t="s">
        <v>281</v>
      </c>
      <c r="I838" s="32" t="s">
        <v>475</v>
      </c>
      <c r="J838" s="31" t="str">
        <f t="shared" si="13"/>
        <v>67206 44711</v>
      </c>
    </row>
    <row r="839" spans="1:10" x14ac:dyDescent="0.25">
      <c r="A839">
        <v>839</v>
      </c>
      <c r="B839" s="4" t="s">
        <v>205</v>
      </c>
      <c r="C839" s="48" t="s">
        <v>97</v>
      </c>
      <c r="D839" s="44">
        <v>49318</v>
      </c>
      <c r="E839" s="56">
        <v>45301</v>
      </c>
      <c r="F839" s="48">
        <v>266.2</v>
      </c>
      <c r="G839" s="7">
        <v>45323</v>
      </c>
      <c r="H839" t="s">
        <v>281</v>
      </c>
      <c r="I839" s="32" t="s">
        <v>475</v>
      </c>
      <c r="J839" s="31" t="str">
        <f t="shared" si="13"/>
        <v>49318 45301</v>
      </c>
    </row>
    <row r="840" spans="1:10" x14ac:dyDescent="0.25">
      <c r="A840">
        <v>840</v>
      </c>
      <c r="B840" s="4" t="s">
        <v>205</v>
      </c>
      <c r="C840" s="48" t="s">
        <v>98</v>
      </c>
      <c r="D840" s="44">
        <v>56060</v>
      </c>
      <c r="E840" s="56">
        <v>44540</v>
      </c>
      <c r="F840" s="48">
        <v>186.84</v>
      </c>
      <c r="G840" s="7">
        <v>44679</v>
      </c>
      <c r="H840" t="s">
        <v>281</v>
      </c>
      <c r="I840" s="32" t="s">
        <v>475</v>
      </c>
      <c r="J840" s="31" t="str">
        <f t="shared" si="13"/>
        <v>56060 44540</v>
      </c>
    </row>
    <row r="841" spans="1:10" x14ac:dyDescent="0.25">
      <c r="A841">
        <v>841</v>
      </c>
      <c r="B841" s="4" t="s">
        <v>205</v>
      </c>
      <c r="C841" s="48" t="s">
        <v>99</v>
      </c>
      <c r="D841" s="44">
        <v>57563</v>
      </c>
      <c r="E841" s="56">
        <v>44397</v>
      </c>
      <c r="F841" s="48">
        <v>496.09</v>
      </c>
      <c r="G841" s="7">
        <v>44526</v>
      </c>
      <c r="H841" t="s">
        <v>281</v>
      </c>
      <c r="I841" s="32" t="s">
        <v>475</v>
      </c>
      <c r="J841" s="31" t="str">
        <f t="shared" si="13"/>
        <v>57563 44397</v>
      </c>
    </row>
    <row r="842" spans="1:10" x14ac:dyDescent="0.25">
      <c r="A842">
        <v>842</v>
      </c>
      <c r="B842" s="4" t="s">
        <v>205</v>
      </c>
      <c r="C842" s="48" t="s">
        <v>100</v>
      </c>
      <c r="D842" s="44">
        <v>46986</v>
      </c>
      <c r="E842" s="56">
        <v>45402</v>
      </c>
      <c r="F842" s="48">
        <v>715.1</v>
      </c>
      <c r="G842" s="7">
        <v>45456</v>
      </c>
      <c r="H842" t="s">
        <v>281</v>
      </c>
      <c r="I842" s="32" t="s">
        <v>475</v>
      </c>
      <c r="J842" s="31" t="str">
        <f t="shared" si="13"/>
        <v>46986 45402</v>
      </c>
    </row>
    <row r="843" spans="1:10" x14ac:dyDescent="0.25">
      <c r="A843">
        <v>843</v>
      </c>
      <c r="B843" s="4" t="s">
        <v>205</v>
      </c>
      <c r="C843" s="48" t="s">
        <v>101</v>
      </c>
      <c r="D843" s="44">
        <v>31287</v>
      </c>
      <c r="E843" s="56">
        <v>44428</v>
      </c>
      <c r="F843" s="48">
        <v>39.630000000000003</v>
      </c>
      <c r="G843" s="7">
        <v>44454</v>
      </c>
      <c r="H843" t="s">
        <v>281</v>
      </c>
      <c r="I843" s="32" t="s">
        <v>475</v>
      </c>
      <c r="J843" s="31" t="str">
        <f t="shared" si="13"/>
        <v>31287 44428</v>
      </c>
    </row>
    <row r="844" spans="1:10" x14ac:dyDescent="0.25">
      <c r="A844">
        <v>844</v>
      </c>
      <c r="B844" s="4" t="s">
        <v>205</v>
      </c>
      <c r="C844" s="48" t="s">
        <v>102</v>
      </c>
      <c r="D844" s="44">
        <v>44606</v>
      </c>
      <c r="E844" s="56">
        <v>45199</v>
      </c>
      <c r="F844" s="48">
        <v>79.2</v>
      </c>
      <c r="G844" s="7">
        <v>45328</v>
      </c>
      <c r="H844" t="s">
        <v>281</v>
      </c>
      <c r="I844" s="32" t="s">
        <v>475</v>
      </c>
      <c r="J844" s="31" t="str">
        <f t="shared" si="13"/>
        <v>44606 45199</v>
      </c>
    </row>
    <row r="845" spans="1:10" x14ac:dyDescent="0.25">
      <c r="A845">
        <v>845</v>
      </c>
      <c r="B845" s="4" t="s">
        <v>205</v>
      </c>
      <c r="C845" s="48" t="s">
        <v>103</v>
      </c>
      <c r="D845" s="44">
        <v>70422</v>
      </c>
      <c r="E845" s="56">
        <v>44915</v>
      </c>
      <c r="F845" s="48">
        <v>264.16000000000003</v>
      </c>
      <c r="G845" s="7">
        <v>45028</v>
      </c>
      <c r="H845" t="s">
        <v>281</v>
      </c>
      <c r="I845" s="32" t="s">
        <v>475</v>
      </c>
      <c r="J845" s="31" t="str">
        <f t="shared" si="13"/>
        <v>70422 44915</v>
      </c>
    </row>
    <row r="846" spans="1:10" x14ac:dyDescent="0.25">
      <c r="A846">
        <v>846</v>
      </c>
      <c r="B846" s="4" t="s">
        <v>205</v>
      </c>
      <c r="C846" s="48" t="s">
        <v>104</v>
      </c>
      <c r="D846" s="44">
        <v>67330</v>
      </c>
      <c r="E846" s="56">
        <v>44650</v>
      </c>
      <c r="F846" s="48">
        <v>526.45000000000005</v>
      </c>
      <c r="G846" s="7">
        <v>44763</v>
      </c>
      <c r="H846" t="s">
        <v>281</v>
      </c>
      <c r="I846" s="32" t="s">
        <v>475</v>
      </c>
      <c r="J846" s="31" t="str">
        <f t="shared" si="13"/>
        <v>67330 44650</v>
      </c>
    </row>
    <row r="847" spans="1:10" x14ac:dyDescent="0.25">
      <c r="A847">
        <v>847</v>
      </c>
      <c r="B847" s="4" t="s">
        <v>205</v>
      </c>
      <c r="C847" s="48" t="s">
        <v>104</v>
      </c>
      <c r="D847" s="44">
        <v>67330</v>
      </c>
      <c r="E847" s="56">
        <v>44681</v>
      </c>
      <c r="F847" s="48">
        <v>531.48</v>
      </c>
      <c r="G847" s="7">
        <v>44763</v>
      </c>
      <c r="H847" t="s">
        <v>281</v>
      </c>
      <c r="I847" s="32" t="s">
        <v>475</v>
      </c>
      <c r="J847" s="31" t="str">
        <f t="shared" si="13"/>
        <v>67330 44681</v>
      </c>
    </row>
    <row r="848" spans="1:10" x14ac:dyDescent="0.25">
      <c r="A848">
        <v>848</v>
      </c>
      <c r="B848" s="4" t="s">
        <v>205</v>
      </c>
      <c r="C848" s="48" t="s">
        <v>105</v>
      </c>
      <c r="D848" s="44">
        <v>11877</v>
      </c>
      <c r="E848" s="56">
        <v>44306</v>
      </c>
      <c r="F848" s="48">
        <v>577.01</v>
      </c>
      <c r="G848" s="7">
        <v>44404</v>
      </c>
      <c r="H848" t="s">
        <v>281</v>
      </c>
      <c r="I848" s="32" t="s">
        <v>475</v>
      </c>
      <c r="J848" s="31" t="str">
        <f t="shared" si="13"/>
        <v>11877 44306</v>
      </c>
    </row>
    <row r="849" spans="1:10" x14ac:dyDescent="0.25">
      <c r="A849">
        <v>849</v>
      </c>
      <c r="B849" s="4" t="s">
        <v>205</v>
      </c>
      <c r="C849" s="48" t="s">
        <v>106</v>
      </c>
      <c r="D849" s="44">
        <v>67875</v>
      </c>
      <c r="E849" s="56">
        <v>45240</v>
      </c>
      <c r="F849" s="67">
        <v>1129.23</v>
      </c>
      <c r="G849" s="7">
        <v>45322</v>
      </c>
      <c r="H849" t="s">
        <v>281</v>
      </c>
      <c r="I849" s="32" t="s">
        <v>475</v>
      </c>
      <c r="J849" s="31" t="str">
        <f t="shared" si="13"/>
        <v>67875 45240</v>
      </c>
    </row>
    <row r="850" spans="1:10" x14ac:dyDescent="0.25">
      <c r="A850">
        <v>850</v>
      </c>
      <c r="B850" s="4" t="s">
        <v>205</v>
      </c>
      <c r="C850" s="48" t="s">
        <v>106</v>
      </c>
      <c r="D850" s="44">
        <v>67875</v>
      </c>
      <c r="E850" s="56">
        <v>45270</v>
      </c>
      <c r="F850" s="67">
        <v>1129.23</v>
      </c>
      <c r="G850" s="7">
        <v>45322</v>
      </c>
      <c r="H850" t="s">
        <v>281</v>
      </c>
      <c r="I850" s="32" t="s">
        <v>475</v>
      </c>
      <c r="J850" s="31" t="str">
        <f t="shared" si="13"/>
        <v>67875 45270</v>
      </c>
    </row>
    <row r="851" spans="1:10" x14ac:dyDescent="0.25">
      <c r="A851">
        <v>851</v>
      </c>
      <c r="B851" s="4" t="s">
        <v>205</v>
      </c>
      <c r="C851" s="48" t="s">
        <v>106</v>
      </c>
      <c r="D851" s="44">
        <v>67508</v>
      </c>
      <c r="E851" s="56">
        <v>45270</v>
      </c>
      <c r="F851" s="48">
        <v>322.74</v>
      </c>
      <c r="G851" s="7">
        <v>45323</v>
      </c>
      <c r="H851" t="s">
        <v>281</v>
      </c>
      <c r="I851" s="32" t="s">
        <v>475</v>
      </c>
      <c r="J851" s="31" t="str">
        <f t="shared" si="13"/>
        <v>67508 45270</v>
      </c>
    </row>
    <row r="852" spans="1:10" x14ac:dyDescent="0.25">
      <c r="A852">
        <v>852</v>
      </c>
      <c r="B852" s="4" t="s">
        <v>205</v>
      </c>
      <c r="C852" s="48" t="s">
        <v>106</v>
      </c>
      <c r="D852" s="44">
        <v>67875</v>
      </c>
      <c r="E852" s="56">
        <v>45301</v>
      </c>
      <c r="F852" s="67">
        <v>1129.23</v>
      </c>
      <c r="G852" s="7">
        <v>45322</v>
      </c>
      <c r="H852" t="s">
        <v>281</v>
      </c>
      <c r="I852" s="32" t="s">
        <v>475</v>
      </c>
      <c r="J852" s="31" t="str">
        <f t="shared" si="13"/>
        <v>67875 45301</v>
      </c>
    </row>
    <row r="853" spans="1:10" x14ac:dyDescent="0.25">
      <c r="A853">
        <v>853</v>
      </c>
      <c r="B853" s="4" t="s">
        <v>205</v>
      </c>
      <c r="C853" s="48" t="s">
        <v>107</v>
      </c>
      <c r="D853" s="44">
        <v>70756</v>
      </c>
      <c r="E853" s="56">
        <v>44854</v>
      </c>
      <c r="F853" s="48">
        <v>246.38</v>
      </c>
      <c r="G853" s="7">
        <v>45002</v>
      </c>
      <c r="H853" t="s">
        <v>281</v>
      </c>
      <c r="I853" s="32" t="s">
        <v>475</v>
      </c>
      <c r="J853" s="31" t="str">
        <f t="shared" si="13"/>
        <v>70756 44854</v>
      </c>
    </row>
    <row r="854" spans="1:10" x14ac:dyDescent="0.25">
      <c r="A854">
        <v>854</v>
      </c>
      <c r="B854" s="4" t="s">
        <v>205</v>
      </c>
      <c r="C854" s="48" t="s">
        <v>107</v>
      </c>
      <c r="D854" s="44">
        <v>70756</v>
      </c>
      <c r="E854" s="56">
        <v>44885</v>
      </c>
      <c r="F854" s="48">
        <v>246.38</v>
      </c>
      <c r="G854" s="7">
        <v>45002</v>
      </c>
      <c r="H854" t="s">
        <v>281</v>
      </c>
      <c r="I854" s="32" t="s">
        <v>475</v>
      </c>
      <c r="J854" s="31" t="str">
        <f t="shared" si="13"/>
        <v>70756 44885</v>
      </c>
    </row>
    <row r="855" spans="1:10" x14ac:dyDescent="0.25">
      <c r="A855">
        <v>855</v>
      </c>
      <c r="B855" s="4" t="s">
        <v>205</v>
      </c>
      <c r="C855" s="48" t="s">
        <v>108</v>
      </c>
      <c r="D855" s="44">
        <v>25153</v>
      </c>
      <c r="E855" s="56">
        <v>44586</v>
      </c>
      <c r="F855" s="48">
        <v>204.03</v>
      </c>
      <c r="G855" s="7">
        <v>44714</v>
      </c>
      <c r="H855" t="s">
        <v>281</v>
      </c>
      <c r="I855" s="32" t="s">
        <v>475</v>
      </c>
      <c r="J855" s="31" t="str">
        <f t="shared" si="13"/>
        <v>25153 44586</v>
      </c>
    </row>
    <row r="856" spans="1:10" x14ac:dyDescent="0.25">
      <c r="A856">
        <v>856</v>
      </c>
      <c r="B856" s="4" t="s">
        <v>205</v>
      </c>
      <c r="C856" s="48" t="s">
        <v>109</v>
      </c>
      <c r="D856" s="44">
        <v>70485</v>
      </c>
      <c r="E856" s="56">
        <v>45219</v>
      </c>
      <c r="F856" s="48">
        <v>911.19</v>
      </c>
      <c r="G856" s="7">
        <v>45322</v>
      </c>
      <c r="H856" t="s">
        <v>281</v>
      </c>
      <c r="I856" s="32" t="s">
        <v>475</v>
      </c>
      <c r="J856" s="31" t="str">
        <f t="shared" si="13"/>
        <v>70485 45219</v>
      </c>
    </row>
    <row r="857" spans="1:10" x14ac:dyDescent="0.25">
      <c r="A857">
        <v>857</v>
      </c>
      <c r="B857" s="4" t="s">
        <v>205</v>
      </c>
      <c r="C857" s="48" t="s">
        <v>110</v>
      </c>
      <c r="D857" s="44">
        <v>63860</v>
      </c>
      <c r="E857" s="56">
        <v>45270</v>
      </c>
      <c r="F857" s="48">
        <v>400.24</v>
      </c>
      <c r="G857" s="7">
        <v>45323</v>
      </c>
      <c r="H857" t="s">
        <v>281</v>
      </c>
      <c r="I857" s="32" t="s">
        <v>475</v>
      </c>
      <c r="J857" s="31" t="str">
        <f t="shared" si="13"/>
        <v>63860 45270</v>
      </c>
    </row>
    <row r="858" spans="1:10" x14ac:dyDescent="0.25">
      <c r="A858">
        <v>858</v>
      </c>
      <c r="B858" s="4" t="s">
        <v>205</v>
      </c>
      <c r="C858" s="48" t="s">
        <v>111</v>
      </c>
      <c r="D858" s="44">
        <v>29109</v>
      </c>
      <c r="E858" s="56">
        <v>45285</v>
      </c>
      <c r="F858" s="48">
        <v>227.52</v>
      </c>
      <c r="G858" s="7">
        <v>45323</v>
      </c>
      <c r="H858" t="s">
        <v>281</v>
      </c>
      <c r="I858" s="32" t="s">
        <v>475</v>
      </c>
      <c r="J858" s="31" t="str">
        <f t="shared" si="13"/>
        <v>29109 45285</v>
      </c>
    </row>
    <row r="859" spans="1:10" x14ac:dyDescent="0.25">
      <c r="A859">
        <v>859</v>
      </c>
      <c r="B859" s="4" t="s">
        <v>205</v>
      </c>
      <c r="C859" s="48" t="s">
        <v>112</v>
      </c>
      <c r="D859" s="44">
        <v>56186</v>
      </c>
      <c r="E859" s="56">
        <v>45392</v>
      </c>
      <c r="F859" s="48">
        <v>329.32</v>
      </c>
      <c r="G859" s="7">
        <v>45464</v>
      </c>
      <c r="H859" t="s">
        <v>281</v>
      </c>
      <c r="I859" s="32" t="s">
        <v>475</v>
      </c>
      <c r="J859" s="31" t="str">
        <f t="shared" si="13"/>
        <v>56186 45392</v>
      </c>
    </row>
    <row r="860" spans="1:10" x14ac:dyDescent="0.25">
      <c r="A860">
        <v>860</v>
      </c>
      <c r="B860" s="4" t="s">
        <v>205</v>
      </c>
      <c r="C860" s="48" t="s">
        <v>112</v>
      </c>
      <c r="D860" s="44">
        <v>56186</v>
      </c>
      <c r="E860" s="56">
        <v>45422</v>
      </c>
      <c r="F860" s="48">
        <v>329.32</v>
      </c>
      <c r="G860" s="7">
        <v>45488</v>
      </c>
      <c r="H860" t="s">
        <v>281</v>
      </c>
      <c r="I860" s="32" t="s">
        <v>475</v>
      </c>
      <c r="J860" s="31" t="str">
        <f t="shared" si="13"/>
        <v>56186 45422</v>
      </c>
    </row>
    <row r="861" spans="1:10" x14ac:dyDescent="0.25">
      <c r="A861">
        <v>861</v>
      </c>
      <c r="B861" s="4" t="s">
        <v>205</v>
      </c>
      <c r="C861" s="48" t="s">
        <v>112</v>
      </c>
      <c r="D861" s="44">
        <v>56186</v>
      </c>
      <c r="E861" s="56">
        <v>45361</v>
      </c>
      <c r="F861" s="48">
        <v>329.32</v>
      </c>
      <c r="G861" s="7">
        <v>45477</v>
      </c>
      <c r="H861" t="s">
        <v>281</v>
      </c>
      <c r="I861" s="32" t="s">
        <v>475</v>
      </c>
      <c r="J861" s="31" t="str">
        <f t="shared" si="13"/>
        <v>56186 45361</v>
      </c>
    </row>
    <row r="862" spans="1:10" x14ac:dyDescent="0.25">
      <c r="A862">
        <v>862</v>
      </c>
      <c r="B862" s="4" t="s">
        <v>205</v>
      </c>
      <c r="C862" s="48" t="s">
        <v>113</v>
      </c>
      <c r="D862" s="44">
        <v>67589</v>
      </c>
      <c r="E862" s="56">
        <v>45250</v>
      </c>
      <c r="F862" s="48">
        <v>204.22</v>
      </c>
      <c r="G862" s="7">
        <v>45323</v>
      </c>
      <c r="H862" t="s">
        <v>281</v>
      </c>
      <c r="I862" s="32" t="s">
        <v>475</v>
      </c>
      <c r="J862" s="31" t="str">
        <f t="shared" si="13"/>
        <v>67589 45250</v>
      </c>
    </row>
    <row r="863" spans="1:10" x14ac:dyDescent="0.25">
      <c r="A863">
        <v>863</v>
      </c>
      <c r="B863" s="4" t="s">
        <v>205</v>
      </c>
      <c r="C863" s="48" t="s">
        <v>113</v>
      </c>
      <c r="D863" s="44">
        <v>67589</v>
      </c>
      <c r="E863" s="56">
        <v>45219</v>
      </c>
      <c r="F863" s="48">
        <v>204.22</v>
      </c>
      <c r="G863" s="7">
        <v>45323</v>
      </c>
      <c r="H863" t="s">
        <v>281</v>
      </c>
      <c r="I863" s="32" t="s">
        <v>475</v>
      </c>
      <c r="J863" s="31" t="str">
        <f t="shared" si="13"/>
        <v>67589 45219</v>
      </c>
    </row>
    <row r="864" spans="1:10" x14ac:dyDescent="0.25">
      <c r="A864">
        <v>864</v>
      </c>
      <c r="B864" s="4" t="s">
        <v>205</v>
      </c>
      <c r="C864" s="48" t="s">
        <v>114</v>
      </c>
      <c r="D864" s="44">
        <v>47930</v>
      </c>
      <c r="E864" s="56">
        <v>45290</v>
      </c>
      <c r="F864" s="48">
        <v>283.98</v>
      </c>
      <c r="G864" s="7">
        <v>45323</v>
      </c>
      <c r="H864" t="s">
        <v>281</v>
      </c>
      <c r="I864" s="32" t="s">
        <v>475</v>
      </c>
      <c r="J864" s="31" t="str">
        <f t="shared" si="13"/>
        <v>47930 45290</v>
      </c>
    </row>
    <row r="865" spans="1:10" x14ac:dyDescent="0.25">
      <c r="A865">
        <v>865</v>
      </c>
      <c r="B865" s="4" t="s">
        <v>205</v>
      </c>
      <c r="C865" s="48" t="s">
        <v>115</v>
      </c>
      <c r="D865" s="44">
        <v>37429</v>
      </c>
      <c r="E865" s="56">
        <v>45285</v>
      </c>
      <c r="F865" s="48">
        <v>743.22</v>
      </c>
      <c r="G865" s="7">
        <v>45323</v>
      </c>
      <c r="H865" t="s">
        <v>281</v>
      </c>
      <c r="I865" s="32" t="s">
        <v>475</v>
      </c>
      <c r="J865" s="31" t="str">
        <f t="shared" si="13"/>
        <v>37429 45285</v>
      </c>
    </row>
    <row r="866" spans="1:10" x14ac:dyDescent="0.25">
      <c r="A866">
        <v>866</v>
      </c>
      <c r="B866" s="4" t="s">
        <v>205</v>
      </c>
      <c r="C866" s="48" t="s">
        <v>115</v>
      </c>
      <c r="D866" s="44">
        <v>37429</v>
      </c>
      <c r="E866" s="56">
        <v>45255</v>
      </c>
      <c r="F866" s="48">
        <v>743.22</v>
      </c>
      <c r="G866" s="7">
        <v>45323</v>
      </c>
      <c r="H866" t="s">
        <v>281</v>
      </c>
      <c r="I866" s="32" t="s">
        <v>475</v>
      </c>
      <c r="J866" s="31" t="str">
        <f t="shared" si="13"/>
        <v>37429 45255</v>
      </c>
    </row>
    <row r="867" spans="1:10" x14ac:dyDescent="0.25">
      <c r="A867">
        <v>867</v>
      </c>
      <c r="B867" s="4" t="s">
        <v>205</v>
      </c>
      <c r="C867" s="48" t="s">
        <v>116</v>
      </c>
      <c r="D867" s="44">
        <v>67228</v>
      </c>
      <c r="E867" s="56">
        <v>45240</v>
      </c>
      <c r="F867" s="48">
        <v>190.02</v>
      </c>
      <c r="G867" s="7">
        <v>45271</v>
      </c>
      <c r="H867" t="s">
        <v>281</v>
      </c>
      <c r="I867" s="32" t="s">
        <v>475</v>
      </c>
      <c r="J867" s="31" t="str">
        <f t="shared" ref="J867:J930" si="14">_xlfn.CONCAT(D867," ",E867)</f>
        <v>67228 45240</v>
      </c>
    </row>
    <row r="868" spans="1:10" x14ac:dyDescent="0.25">
      <c r="A868">
        <v>868</v>
      </c>
      <c r="C868" s="39">
        <v>62349762394</v>
      </c>
      <c r="D868" s="68">
        <v>13605</v>
      </c>
      <c r="E868" s="69">
        <v>45879</v>
      </c>
      <c r="F868" s="70">
        <v>283.7</v>
      </c>
      <c r="H868" t="s">
        <v>215</v>
      </c>
      <c r="I868" s="32" t="s">
        <v>475</v>
      </c>
      <c r="J868" s="31">
        <v>46002</v>
      </c>
    </row>
    <row r="869" spans="1:10" x14ac:dyDescent="0.25">
      <c r="A869">
        <v>869</v>
      </c>
      <c r="C869" s="39">
        <v>62349762394</v>
      </c>
      <c r="D869" s="68">
        <v>13605</v>
      </c>
      <c r="E869" s="69">
        <v>45879</v>
      </c>
      <c r="F869" s="70">
        <v>283.7</v>
      </c>
      <c r="H869" t="s">
        <v>465</v>
      </c>
      <c r="I869" s="83">
        <v>45973</v>
      </c>
      <c r="J869" s="31" t="str">
        <f t="shared" si="14"/>
        <v>13605 45879</v>
      </c>
    </row>
    <row r="870" spans="1:10" x14ac:dyDescent="0.25">
      <c r="A870">
        <v>870</v>
      </c>
      <c r="C870" s="39" t="s">
        <v>283</v>
      </c>
      <c r="D870" s="68">
        <v>16825</v>
      </c>
      <c r="E870" s="69">
        <v>45879</v>
      </c>
      <c r="F870" s="70">
        <v>798.44</v>
      </c>
      <c r="H870" t="s">
        <v>118</v>
      </c>
      <c r="I870" s="32" t="s">
        <v>475</v>
      </c>
      <c r="J870" s="31" t="str">
        <f t="shared" si="14"/>
        <v>16825 45879</v>
      </c>
    </row>
    <row r="871" spans="1:10" x14ac:dyDescent="0.25">
      <c r="A871">
        <v>871</v>
      </c>
      <c r="C871" s="39" t="s">
        <v>284</v>
      </c>
      <c r="D871" s="68">
        <v>37439</v>
      </c>
      <c r="E871" s="69">
        <v>45772</v>
      </c>
      <c r="F871" s="70">
        <v>193.62</v>
      </c>
      <c r="H871" t="s">
        <v>215</v>
      </c>
      <c r="I871" s="32" t="s">
        <v>475</v>
      </c>
      <c r="J871" s="31">
        <v>46002</v>
      </c>
    </row>
    <row r="872" spans="1:10" x14ac:dyDescent="0.25">
      <c r="A872">
        <v>872</v>
      </c>
      <c r="C872" s="39" t="s">
        <v>284</v>
      </c>
      <c r="D872" s="68">
        <v>37439</v>
      </c>
      <c r="E872" s="69">
        <v>45833</v>
      </c>
      <c r="F872" s="70">
        <v>193.62</v>
      </c>
      <c r="H872" t="s">
        <v>118</v>
      </c>
      <c r="I872" s="32" t="s">
        <v>475</v>
      </c>
      <c r="J872" s="31" t="str">
        <f t="shared" si="14"/>
        <v>37439 45833</v>
      </c>
    </row>
    <row r="873" spans="1:10" x14ac:dyDescent="0.25">
      <c r="A873">
        <v>873</v>
      </c>
      <c r="C873" s="39" t="s">
        <v>284</v>
      </c>
      <c r="D873" s="68">
        <v>37439</v>
      </c>
      <c r="E873" s="69">
        <v>45863</v>
      </c>
      <c r="F873" s="70">
        <v>193.62</v>
      </c>
      <c r="H873" t="s">
        <v>118</v>
      </c>
      <c r="I873" s="32" t="s">
        <v>475</v>
      </c>
      <c r="J873" s="31" t="str">
        <f t="shared" si="14"/>
        <v>37439 45863</v>
      </c>
    </row>
    <row r="874" spans="1:10" x14ac:dyDescent="0.25">
      <c r="A874">
        <v>874</v>
      </c>
      <c r="C874" s="39">
        <v>59473479204</v>
      </c>
      <c r="D874" s="68">
        <v>39159</v>
      </c>
      <c r="E874" s="69">
        <v>45868</v>
      </c>
      <c r="F874" s="70">
        <v>380.55</v>
      </c>
      <c r="H874" t="s">
        <v>215</v>
      </c>
      <c r="I874" s="32" t="s">
        <v>475</v>
      </c>
      <c r="J874" s="31">
        <v>46002</v>
      </c>
    </row>
    <row r="875" spans="1:10" x14ac:dyDescent="0.25">
      <c r="A875">
        <v>875</v>
      </c>
      <c r="C875" s="39">
        <v>27243516300</v>
      </c>
      <c r="D875" s="68">
        <v>60535</v>
      </c>
      <c r="E875" s="69">
        <v>45879</v>
      </c>
      <c r="F875" s="70">
        <v>365.27</v>
      </c>
      <c r="H875" t="s">
        <v>215</v>
      </c>
      <c r="I875" s="32" t="s">
        <v>475</v>
      </c>
      <c r="J875" s="31">
        <v>46002</v>
      </c>
    </row>
    <row r="876" spans="1:10" x14ac:dyDescent="0.25">
      <c r="A876">
        <v>876</v>
      </c>
      <c r="C876" s="39" t="s">
        <v>285</v>
      </c>
      <c r="D876" s="68">
        <v>65796</v>
      </c>
      <c r="E876" s="69">
        <v>45858</v>
      </c>
      <c r="F876" s="70">
        <v>612.86</v>
      </c>
      <c r="H876" t="s">
        <v>215</v>
      </c>
      <c r="I876" s="32" t="s">
        <v>475</v>
      </c>
      <c r="J876" s="31">
        <v>46002</v>
      </c>
    </row>
    <row r="877" spans="1:10" x14ac:dyDescent="0.25">
      <c r="A877">
        <v>877</v>
      </c>
      <c r="C877" s="39" t="s">
        <v>285</v>
      </c>
      <c r="D877" s="68">
        <v>65796</v>
      </c>
      <c r="E877" s="69">
        <v>45858</v>
      </c>
      <c r="F877" s="70">
        <v>612.86</v>
      </c>
      <c r="H877" t="s">
        <v>465</v>
      </c>
      <c r="I877" s="83">
        <v>45973</v>
      </c>
      <c r="J877" s="31" t="str">
        <f t="shared" si="14"/>
        <v>65796 45858</v>
      </c>
    </row>
    <row r="878" spans="1:10" x14ac:dyDescent="0.25">
      <c r="A878">
        <v>878</v>
      </c>
      <c r="C878" s="39" t="s">
        <v>285</v>
      </c>
      <c r="D878" s="68">
        <v>65796</v>
      </c>
      <c r="E878" s="69">
        <v>45858</v>
      </c>
      <c r="F878" s="70">
        <v>612.86</v>
      </c>
      <c r="H878" t="s">
        <v>465</v>
      </c>
      <c r="I878" s="83">
        <v>45973</v>
      </c>
      <c r="J878" s="31" t="str">
        <f t="shared" si="14"/>
        <v>65796 45858</v>
      </c>
    </row>
    <row r="879" spans="1:10" x14ac:dyDescent="0.25">
      <c r="A879">
        <v>879</v>
      </c>
      <c r="C879" s="39">
        <v>79704255349</v>
      </c>
      <c r="D879" s="68">
        <v>66048</v>
      </c>
      <c r="E879" s="69">
        <v>45879</v>
      </c>
      <c r="F879" s="70">
        <v>226.67</v>
      </c>
      <c r="H879" t="s">
        <v>215</v>
      </c>
      <c r="I879" s="32" t="s">
        <v>475</v>
      </c>
      <c r="J879" s="31">
        <v>46002</v>
      </c>
    </row>
    <row r="880" spans="1:10" x14ac:dyDescent="0.25">
      <c r="A880">
        <v>880</v>
      </c>
      <c r="C880" s="39" t="s">
        <v>286</v>
      </c>
      <c r="D880" s="68">
        <v>67363</v>
      </c>
      <c r="E880" s="69">
        <v>45807</v>
      </c>
      <c r="F880" s="70">
        <v>490.46</v>
      </c>
      <c r="H880" t="s">
        <v>215</v>
      </c>
      <c r="I880" s="32" t="s">
        <v>475</v>
      </c>
      <c r="J880" s="31">
        <v>46002</v>
      </c>
    </row>
    <row r="881" spans="1:10" x14ac:dyDescent="0.25">
      <c r="A881">
        <v>881</v>
      </c>
      <c r="C881" s="39" t="s">
        <v>286</v>
      </c>
      <c r="D881" s="68">
        <v>67363</v>
      </c>
      <c r="E881" s="69">
        <v>45868</v>
      </c>
      <c r="F881" s="70">
        <v>32.619999999999997</v>
      </c>
      <c r="H881" t="s">
        <v>118</v>
      </c>
      <c r="I881" s="32" t="s">
        <v>475</v>
      </c>
      <c r="J881" s="31" t="str">
        <f t="shared" si="14"/>
        <v>67363 45868</v>
      </c>
    </row>
    <row r="882" spans="1:10" x14ac:dyDescent="0.25">
      <c r="A882">
        <v>882</v>
      </c>
      <c r="C882" s="39">
        <v>99767414304</v>
      </c>
      <c r="D882" s="68">
        <v>67374</v>
      </c>
      <c r="E882" s="69">
        <v>45868</v>
      </c>
      <c r="F882" s="70">
        <v>246.9</v>
      </c>
      <c r="H882" t="s">
        <v>118</v>
      </c>
      <c r="I882" s="32" t="s">
        <v>475</v>
      </c>
      <c r="J882" s="31" t="str">
        <f t="shared" si="14"/>
        <v>67374 45868</v>
      </c>
    </row>
    <row r="883" spans="1:10" x14ac:dyDescent="0.25">
      <c r="A883">
        <v>883</v>
      </c>
      <c r="C883" s="39">
        <v>92826547372</v>
      </c>
      <c r="D883" s="68">
        <v>67505</v>
      </c>
      <c r="E883" s="69">
        <v>45879</v>
      </c>
      <c r="F883" s="70">
        <v>823.94</v>
      </c>
      <c r="H883" t="s">
        <v>118</v>
      </c>
      <c r="I883" s="32" t="s">
        <v>475</v>
      </c>
      <c r="J883" s="31" t="str">
        <f t="shared" si="14"/>
        <v>67505 45879</v>
      </c>
    </row>
    <row r="884" spans="1:10" x14ac:dyDescent="0.25">
      <c r="A884">
        <v>884</v>
      </c>
      <c r="C884" s="39" t="s">
        <v>287</v>
      </c>
      <c r="D884" s="68">
        <v>67975</v>
      </c>
      <c r="E884" s="69">
        <v>45646</v>
      </c>
      <c r="F884" s="70">
        <v>432.24</v>
      </c>
      <c r="H884" t="s">
        <v>118</v>
      </c>
      <c r="I884" s="32" t="s">
        <v>475</v>
      </c>
      <c r="J884" s="31" t="str">
        <f t="shared" si="14"/>
        <v>67975 45646</v>
      </c>
    </row>
    <row r="885" spans="1:10" x14ac:dyDescent="0.25">
      <c r="A885">
        <v>885</v>
      </c>
      <c r="C885" s="39">
        <v>98488740387</v>
      </c>
      <c r="D885" s="68">
        <v>71550</v>
      </c>
      <c r="E885" s="69">
        <v>45767</v>
      </c>
      <c r="F885" s="70">
        <v>206.12</v>
      </c>
      <c r="H885" t="s">
        <v>215</v>
      </c>
      <c r="I885" s="32" t="s">
        <v>475</v>
      </c>
      <c r="J885" s="31">
        <v>46002</v>
      </c>
    </row>
    <row r="886" spans="1:10" x14ac:dyDescent="0.25">
      <c r="A886">
        <v>886</v>
      </c>
      <c r="C886" s="40">
        <v>98488740387</v>
      </c>
      <c r="D886" s="71">
        <v>71550</v>
      </c>
      <c r="E886" s="72">
        <v>45767</v>
      </c>
      <c r="F886" s="73">
        <v>206.12</v>
      </c>
      <c r="H886" t="s">
        <v>118</v>
      </c>
      <c r="I886" s="32" t="s">
        <v>475</v>
      </c>
      <c r="J886" s="31" t="str">
        <f t="shared" si="14"/>
        <v>71550 45767</v>
      </c>
    </row>
    <row r="887" spans="1:10" x14ac:dyDescent="0.25">
      <c r="A887">
        <v>887</v>
      </c>
      <c r="C887" s="48" t="s">
        <v>286</v>
      </c>
      <c r="D887" s="55">
        <v>67363</v>
      </c>
      <c r="E887" s="56">
        <v>45807</v>
      </c>
      <c r="F887" s="57">
        <v>490.46</v>
      </c>
      <c r="G887" s="38">
        <v>45973</v>
      </c>
      <c r="H887" t="s">
        <v>296</v>
      </c>
      <c r="I887" s="32" t="s">
        <v>475</v>
      </c>
      <c r="J887" s="31" t="str">
        <f t="shared" si="14"/>
        <v>67363 45807</v>
      </c>
    </row>
    <row r="888" spans="1:10" x14ac:dyDescent="0.25">
      <c r="A888">
        <v>888</v>
      </c>
      <c r="C888" s="48" t="s">
        <v>284</v>
      </c>
      <c r="D888" s="55">
        <v>37439</v>
      </c>
      <c r="E888" s="56">
        <v>45833</v>
      </c>
      <c r="F888" s="57">
        <v>193.62</v>
      </c>
      <c r="H888" t="s">
        <v>281</v>
      </c>
      <c r="I888" s="32" t="s">
        <v>475</v>
      </c>
      <c r="J888" s="31" t="str">
        <f t="shared" si="14"/>
        <v>37439 45833</v>
      </c>
    </row>
    <row r="889" spans="1:10" x14ac:dyDescent="0.25">
      <c r="A889">
        <v>889</v>
      </c>
      <c r="C889" s="48" t="s">
        <v>285</v>
      </c>
      <c r="D889" s="55">
        <v>65796</v>
      </c>
      <c r="E889" s="56">
        <v>45858</v>
      </c>
      <c r="F889" s="57">
        <v>612.86</v>
      </c>
      <c r="H889" t="s">
        <v>465</v>
      </c>
      <c r="I889" s="83">
        <v>45973</v>
      </c>
      <c r="J889" s="31" t="str">
        <f t="shared" si="14"/>
        <v>65796 45858</v>
      </c>
    </row>
    <row r="890" spans="1:10" x14ac:dyDescent="0.25">
      <c r="A890">
        <v>890</v>
      </c>
      <c r="C890" s="48" t="s">
        <v>284</v>
      </c>
      <c r="D890" s="55">
        <v>37439</v>
      </c>
      <c r="E890" s="56">
        <v>45863</v>
      </c>
      <c r="F890" s="57">
        <v>193.62</v>
      </c>
      <c r="H890" t="s">
        <v>295</v>
      </c>
      <c r="I890" s="32" t="s">
        <v>475</v>
      </c>
      <c r="J890" s="31" t="str">
        <f t="shared" si="14"/>
        <v>37439 45863</v>
      </c>
    </row>
    <row r="891" spans="1:10" x14ac:dyDescent="0.25">
      <c r="A891">
        <v>891</v>
      </c>
      <c r="C891" s="48" t="s">
        <v>286</v>
      </c>
      <c r="D891" s="55">
        <v>67363</v>
      </c>
      <c r="E891" s="56">
        <v>45868</v>
      </c>
      <c r="F891" s="57">
        <v>32.619999999999997</v>
      </c>
      <c r="H891" t="s">
        <v>215</v>
      </c>
      <c r="I891" s="32" t="s">
        <v>475</v>
      </c>
      <c r="J891" s="31">
        <v>46002</v>
      </c>
    </row>
    <row r="892" spans="1:10" x14ac:dyDescent="0.25">
      <c r="A892">
        <v>892</v>
      </c>
      <c r="C892" s="48">
        <v>59473479204</v>
      </c>
      <c r="D892" s="55">
        <v>39159</v>
      </c>
      <c r="E892" s="56">
        <v>45868</v>
      </c>
      <c r="F892" s="57">
        <v>380.55</v>
      </c>
      <c r="H892" t="s">
        <v>465</v>
      </c>
      <c r="I892" s="83">
        <v>45973</v>
      </c>
      <c r="J892" s="31" t="str">
        <f t="shared" si="14"/>
        <v>39159 45868</v>
      </c>
    </row>
    <row r="893" spans="1:10" x14ac:dyDescent="0.25">
      <c r="A893">
        <v>893</v>
      </c>
      <c r="C893" s="48">
        <v>99767414304</v>
      </c>
      <c r="D893" s="55">
        <v>67374</v>
      </c>
      <c r="E893" s="56">
        <v>45868</v>
      </c>
      <c r="F893" s="57">
        <v>246.9</v>
      </c>
      <c r="H893" t="s">
        <v>118</v>
      </c>
      <c r="I893" s="32" t="s">
        <v>475</v>
      </c>
      <c r="J893" s="31" t="str">
        <f t="shared" si="14"/>
        <v>67374 45868</v>
      </c>
    </row>
    <row r="894" spans="1:10" x14ac:dyDescent="0.25">
      <c r="A894">
        <v>894</v>
      </c>
      <c r="C894" s="48">
        <v>62349762394</v>
      </c>
      <c r="D894" s="55">
        <v>13605</v>
      </c>
      <c r="E894" s="56">
        <v>45879</v>
      </c>
      <c r="F894" s="57">
        <v>283.7</v>
      </c>
      <c r="H894" t="s">
        <v>465</v>
      </c>
      <c r="I894" s="83">
        <v>45973</v>
      </c>
      <c r="J894" s="31" t="str">
        <f t="shared" si="14"/>
        <v>13605 45879</v>
      </c>
    </row>
    <row r="895" spans="1:10" x14ac:dyDescent="0.25">
      <c r="A895">
        <v>895</v>
      </c>
      <c r="C895" s="48">
        <v>79704255349</v>
      </c>
      <c r="D895" s="55">
        <v>66048</v>
      </c>
      <c r="E895" s="56">
        <v>45879</v>
      </c>
      <c r="F895" s="57">
        <v>226.67</v>
      </c>
      <c r="H895" t="s">
        <v>465</v>
      </c>
      <c r="I895" s="83">
        <v>45973</v>
      </c>
      <c r="J895" s="31" t="str">
        <f t="shared" si="14"/>
        <v>66048 45879</v>
      </c>
    </row>
    <row r="896" spans="1:10" x14ac:dyDescent="0.25">
      <c r="A896">
        <v>896</v>
      </c>
      <c r="C896" s="48">
        <v>27243516300</v>
      </c>
      <c r="D896" s="55">
        <v>60535</v>
      </c>
      <c r="E896" s="56">
        <v>45879</v>
      </c>
      <c r="F896" s="57">
        <v>365.27</v>
      </c>
      <c r="H896" t="s">
        <v>465</v>
      </c>
      <c r="I896" s="83">
        <v>45973</v>
      </c>
      <c r="J896" s="31" t="str">
        <f t="shared" si="14"/>
        <v>60535 45879</v>
      </c>
    </row>
    <row r="897" spans="1:10" x14ac:dyDescent="0.25">
      <c r="A897">
        <v>897</v>
      </c>
      <c r="C897" s="48" t="s">
        <v>283</v>
      </c>
      <c r="D897" s="55">
        <v>16825</v>
      </c>
      <c r="E897" s="56">
        <v>45879</v>
      </c>
      <c r="F897" s="57">
        <v>798.44</v>
      </c>
      <c r="H897" t="s">
        <v>118</v>
      </c>
      <c r="I897" s="32" t="s">
        <v>475</v>
      </c>
      <c r="J897" s="31" t="str">
        <f t="shared" si="14"/>
        <v>16825 45879</v>
      </c>
    </row>
    <row r="898" spans="1:10" x14ac:dyDescent="0.25">
      <c r="A898">
        <v>898</v>
      </c>
      <c r="C898" s="51">
        <v>92826547372</v>
      </c>
      <c r="D898" s="74">
        <v>67505</v>
      </c>
      <c r="E898" s="75">
        <v>45879</v>
      </c>
      <c r="F898" s="76">
        <v>823.94</v>
      </c>
      <c r="H898" t="s">
        <v>215</v>
      </c>
      <c r="I898" s="32" t="s">
        <v>475</v>
      </c>
      <c r="J898" s="31" t="str">
        <f t="shared" si="14"/>
        <v>67505 45879</v>
      </c>
    </row>
    <row r="899" spans="1:10" x14ac:dyDescent="0.25">
      <c r="A899">
        <v>899</v>
      </c>
      <c r="D899" s="55">
        <v>37439</v>
      </c>
      <c r="E899" s="56">
        <v>45772</v>
      </c>
      <c r="H899" t="s">
        <v>281</v>
      </c>
      <c r="I899" s="32" t="s">
        <v>475</v>
      </c>
      <c r="J899" s="31" t="str">
        <f t="shared" si="14"/>
        <v>37439 45772</v>
      </c>
    </row>
    <row r="900" spans="1:10" ht="16.5" x14ac:dyDescent="0.3">
      <c r="A900">
        <v>900</v>
      </c>
      <c r="C900" s="46">
        <v>61357531346</v>
      </c>
      <c r="D900" s="62">
        <v>16854</v>
      </c>
      <c r="E900" s="63">
        <v>45046</v>
      </c>
      <c r="F900" s="64">
        <v>241.44</v>
      </c>
      <c r="H900" t="s">
        <v>296</v>
      </c>
      <c r="I900" s="32" t="s">
        <v>475</v>
      </c>
      <c r="J900" s="31" t="str">
        <f t="shared" si="14"/>
        <v>16854 45046</v>
      </c>
    </row>
    <row r="901" spans="1:10" ht="16.5" x14ac:dyDescent="0.3">
      <c r="A901">
        <v>901</v>
      </c>
      <c r="C901" s="52">
        <v>61357531346</v>
      </c>
      <c r="D901" s="78">
        <v>16854</v>
      </c>
      <c r="E901" s="79">
        <v>45076</v>
      </c>
      <c r="F901" s="80">
        <v>241.44</v>
      </c>
      <c r="H901" t="s">
        <v>296</v>
      </c>
      <c r="I901" s="32" t="s">
        <v>475</v>
      </c>
      <c r="J901" s="31" t="str">
        <f t="shared" si="14"/>
        <v>16854 45076</v>
      </c>
    </row>
    <row r="902" spans="1:10" x14ac:dyDescent="0.25">
      <c r="A902">
        <v>902</v>
      </c>
      <c r="C902" s="48">
        <v>64798151300</v>
      </c>
      <c r="D902" s="55">
        <v>69468</v>
      </c>
      <c r="E902" s="56">
        <v>45868</v>
      </c>
      <c r="F902" s="57">
        <v>333.53</v>
      </c>
      <c r="H902" t="s">
        <v>215</v>
      </c>
      <c r="I902" s="32" t="s">
        <v>475</v>
      </c>
      <c r="J902" s="31" t="str">
        <f t="shared" si="14"/>
        <v>69468 45868</v>
      </c>
    </row>
    <row r="903" spans="1:10" x14ac:dyDescent="0.25">
      <c r="A903">
        <v>903</v>
      </c>
      <c r="C903" s="48" t="s">
        <v>303</v>
      </c>
      <c r="D903" s="55">
        <v>70964</v>
      </c>
      <c r="E903" s="56">
        <v>45868</v>
      </c>
      <c r="F903" s="57">
        <v>244.21</v>
      </c>
      <c r="H903" t="s">
        <v>118</v>
      </c>
      <c r="I903" s="32" t="s">
        <v>475</v>
      </c>
      <c r="J903" s="31" t="str">
        <f t="shared" si="14"/>
        <v>70964 45868</v>
      </c>
    </row>
    <row r="904" spans="1:10" ht="16.5" x14ac:dyDescent="0.3">
      <c r="A904">
        <v>904</v>
      </c>
      <c r="C904" s="45">
        <v>61502038323</v>
      </c>
      <c r="D904" s="59">
        <v>69450</v>
      </c>
      <c r="E904" s="60">
        <v>44612</v>
      </c>
      <c r="F904" s="61">
        <v>178.29</v>
      </c>
      <c r="H904" t="s">
        <v>466</v>
      </c>
      <c r="I904" s="83">
        <v>45978</v>
      </c>
      <c r="J904" s="31" t="str">
        <f t="shared" si="14"/>
        <v>69450 44612</v>
      </c>
    </row>
    <row r="905" spans="1:10" ht="16.5" x14ac:dyDescent="0.3">
      <c r="A905">
        <v>905</v>
      </c>
      <c r="C905" s="52">
        <v>61502038323</v>
      </c>
      <c r="D905" s="78">
        <v>69450</v>
      </c>
      <c r="E905" s="79">
        <v>44640</v>
      </c>
      <c r="F905" s="80">
        <v>178.29</v>
      </c>
      <c r="H905" t="s">
        <v>466</v>
      </c>
      <c r="I905" s="83">
        <v>45978</v>
      </c>
      <c r="J905" s="31" t="str">
        <f t="shared" si="14"/>
        <v>69450 44640</v>
      </c>
    </row>
    <row r="906" spans="1:10" x14ac:dyDescent="0.25">
      <c r="A906">
        <v>906</v>
      </c>
      <c r="C906" s="39">
        <v>25066072349</v>
      </c>
      <c r="D906" s="68">
        <v>23956</v>
      </c>
      <c r="E906" s="69">
        <v>45726</v>
      </c>
      <c r="F906" s="39">
        <v>757.48</v>
      </c>
      <c r="H906" t="s">
        <v>215</v>
      </c>
      <c r="I906" s="32" t="s">
        <v>475</v>
      </c>
      <c r="J906" s="31" t="str">
        <f t="shared" si="14"/>
        <v>23956 45726</v>
      </c>
    </row>
    <row r="907" spans="1:10" x14ac:dyDescent="0.25">
      <c r="A907">
        <v>907</v>
      </c>
      <c r="C907" s="39">
        <v>41333756372</v>
      </c>
      <c r="D907" s="68">
        <v>49011</v>
      </c>
      <c r="E907" s="69">
        <v>45910</v>
      </c>
      <c r="F907" s="39">
        <v>315.01</v>
      </c>
      <c r="H907" t="s">
        <v>215</v>
      </c>
      <c r="I907" s="32" t="s">
        <v>475</v>
      </c>
      <c r="J907" s="31" t="str">
        <f t="shared" si="14"/>
        <v>49011 45910</v>
      </c>
    </row>
    <row r="908" spans="1:10" x14ac:dyDescent="0.25">
      <c r="A908">
        <v>908</v>
      </c>
      <c r="C908" s="39">
        <v>43592457349</v>
      </c>
      <c r="D908" s="68">
        <v>29225</v>
      </c>
      <c r="E908" s="69">
        <v>45899</v>
      </c>
      <c r="F908" s="39">
        <v>187.5</v>
      </c>
      <c r="H908" t="s">
        <v>118</v>
      </c>
      <c r="I908" s="32" t="s">
        <v>475</v>
      </c>
      <c r="J908" s="31" t="str">
        <f t="shared" si="14"/>
        <v>29225 45899</v>
      </c>
    </row>
    <row r="909" spans="1:10" x14ac:dyDescent="0.25">
      <c r="A909">
        <v>909</v>
      </c>
      <c r="C909" s="39">
        <v>48732974353</v>
      </c>
      <c r="D909" s="68">
        <v>58718</v>
      </c>
      <c r="E909" s="69">
        <v>45899</v>
      </c>
      <c r="F909" s="39">
        <v>274.60000000000002</v>
      </c>
      <c r="H909" t="s">
        <v>118</v>
      </c>
      <c r="I909" s="32" t="s">
        <v>475</v>
      </c>
      <c r="J909" s="31" t="str">
        <f t="shared" si="14"/>
        <v>58718 45899</v>
      </c>
    </row>
    <row r="910" spans="1:10" x14ac:dyDescent="0.25">
      <c r="A910">
        <v>910</v>
      </c>
      <c r="C910" s="39">
        <v>54985633372</v>
      </c>
      <c r="D910" s="68">
        <v>56027</v>
      </c>
      <c r="E910" s="69">
        <v>45910</v>
      </c>
      <c r="F910" s="39">
        <v>249.43</v>
      </c>
      <c r="H910" t="s">
        <v>118</v>
      </c>
      <c r="I910" s="32" t="s">
        <v>475</v>
      </c>
      <c r="J910" s="31" t="str">
        <f t="shared" si="14"/>
        <v>56027 45910</v>
      </c>
    </row>
    <row r="911" spans="1:10" x14ac:dyDescent="0.25">
      <c r="A911">
        <v>911</v>
      </c>
      <c r="C911" s="39">
        <v>64359093349</v>
      </c>
      <c r="D911" s="68">
        <v>60113</v>
      </c>
      <c r="E911" s="69">
        <v>45910</v>
      </c>
      <c r="F911" s="39">
        <v>365.27</v>
      </c>
      <c r="H911" t="s">
        <v>215</v>
      </c>
      <c r="I911" s="32" t="s">
        <v>475</v>
      </c>
      <c r="J911" s="31" t="str">
        <f t="shared" si="14"/>
        <v>60113 45910</v>
      </c>
    </row>
    <row r="912" spans="1:10" x14ac:dyDescent="0.25">
      <c r="A912">
        <v>912</v>
      </c>
      <c r="C912" s="39">
        <v>64592979320</v>
      </c>
      <c r="D912" s="68">
        <v>38757</v>
      </c>
      <c r="E912" s="69">
        <v>45787</v>
      </c>
      <c r="F912" s="39">
        <v>252.65</v>
      </c>
      <c r="H912" t="s">
        <v>215</v>
      </c>
      <c r="I912" s="32" t="s">
        <v>475</v>
      </c>
      <c r="J912" s="31" t="str">
        <f t="shared" si="14"/>
        <v>38757 45787</v>
      </c>
    </row>
    <row r="913" spans="1:10" x14ac:dyDescent="0.25">
      <c r="A913">
        <v>913</v>
      </c>
      <c r="C913" s="39">
        <v>67257887349</v>
      </c>
      <c r="D913" s="68">
        <v>72605</v>
      </c>
      <c r="E913" s="69">
        <v>45889</v>
      </c>
      <c r="F913" s="39">
        <v>269.23</v>
      </c>
      <c r="H913" t="s">
        <v>215</v>
      </c>
      <c r="I913" s="32" t="s">
        <v>475</v>
      </c>
      <c r="J913" s="31" t="str">
        <f t="shared" si="14"/>
        <v>72605 45889</v>
      </c>
    </row>
    <row r="914" spans="1:10" x14ac:dyDescent="0.25">
      <c r="A914">
        <v>914</v>
      </c>
      <c r="C914" s="39">
        <v>67257887349</v>
      </c>
      <c r="D914" s="68">
        <v>72605</v>
      </c>
      <c r="E914" s="69">
        <v>45858</v>
      </c>
      <c r="F914" s="39">
        <v>269.23</v>
      </c>
      <c r="H914" t="s">
        <v>215</v>
      </c>
      <c r="I914" s="32" t="s">
        <v>475</v>
      </c>
      <c r="J914" s="31" t="str">
        <f t="shared" si="14"/>
        <v>72605 45858</v>
      </c>
    </row>
    <row r="915" spans="1:10" x14ac:dyDescent="0.25">
      <c r="A915">
        <v>915</v>
      </c>
      <c r="C915" s="39">
        <v>67257887349</v>
      </c>
      <c r="D915" s="68">
        <v>72605</v>
      </c>
      <c r="E915" s="69">
        <v>45828</v>
      </c>
      <c r="F915" s="39">
        <v>269.23</v>
      </c>
      <c r="H915" t="s">
        <v>215</v>
      </c>
      <c r="I915" s="32" t="s">
        <v>475</v>
      </c>
      <c r="J915" s="31" t="str">
        <f t="shared" si="14"/>
        <v>72605 45828</v>
      </c>
    </row>
    <row r="916" spans="1:10" x14ac:dyDescent="0.25">
      <c r="A916">
        <v>916</v>
      </c>
      <c r="C916" s="39">
        <v>71050779215</v>
      </c>
      <c r="D916" s="68">
        <v>30293</v>
      </c>
      <c r="E916" s="69">
        <v>45884</v>
      </c>
      <c r="F916" s="39">
        <v>610.71</v>
      </c>
      <c r="H916" t="s">
        <v>215</v>
      </c>
      <c r="I916" s="32" t="s">
        <v>475</v>
      </c>
      <c r="J916" s="31" t="str">
        <f t="shared" si="14"/>
        <v>30293 45884</v>
      </c>
    </row>
    <row r="917" spans="1:10" x14ac:dyDescent="0.25">
      <c r="A917">
        <v>917</v>
      </c>
      <c r="C917" s="39">
        <v>72306750300</v>
      </c>
      <c r="D917" s="68">
        <v>67402</v>
      </c>
      <c r="E917" s="69">
        <v>45899</v>
      </c>
      <c r="F917" s="39">
        <v>231.56</v>
      </c>
      <c r="H917" t="s">
        <v>215</v>
      </c>
      <c r="I917" s="32" t="s">
        <v>475</v>
      </c>
      <c r="J917" s="31" t="str">
        <f t="shared" si="14"/>
        <v>67402 45899</v>
      </c>
    </row>
    <row r="918" spans="1:10" x14ac:dyDescent="0.25">
      <c r="A918">
        <v>918</v>
      </c>
      <c r="C918" s="39">
        <v>78084989391</v>
      </c>
      <c r="D918" s="68">
        <v>45880</v>
      </c>
      <c r="E918" s="69">
        <v>45823</v>
      </c>
      <c r="F918" s="39">
        <v>19.420000000000002</v>
      </c>
      <c r="H918" t="s">
        <v>467</v>
      </c>
      <c r="I918" s="83">
        <v>45982</v>
      </c>
      <c r="J918" s="31" t="str">
        <f t="shared" si="14"/>
        <v>45880 45823</v>
      </c>
    </row>
    <row r="919" spans="1:10" x14ac:dyDescent="0.25">
      <c r="A919">
        <v>919</v>
      </c>
      <c r="C919" s="39">
        <v>86526952291</v>
      </c>
      <c r="D919" s="68">
        <v>71388</v>
      </c>
      <c r="E919" s="69">
        <v>45899</v>
      </c>
      <c r="F919" s="39">
        <v>866.71</v>
      </c>
      <c r="H919" t="s">
        <v>215</v>
      </c>
      <c r="I919" s="32" t="s">
        <v>475</v>
      </c>
      <c r="J919" s="31" t="str">
        <f t="shared" si="14"/>
        <v>71388 45899</v>
      </c>
    </row>
    <row r="920" spans="1:10" x14ac:dyDescent="0.25">
      <c r="A920">
        <v>920</v>
      </c>
      <c r="C920" s="39">
        <v>92879942349</v>
      </c>
      <c r="D920" s="68">
        <v>70814</v>
      </c>
      <c r="E920" s="69">
        <v>45889</v>
      </c>
      <c r="F920" s="39">
        <v>820.28</v>
      </c>
      <c r="H920" t="s">
        <v>215</v>
      </c>
      <c r="I920" s="32" t="s">
        <v>475</v>
      </c>
      <c r="J920" s="31" t="str">
        <f t="shared" si="14"/>
        <v>70814 45889</v>
      </c>
    </row>
    <row r="921" spans="1:10" x14ac:dyDescent="0.25">
      <c r="A921">
        <v>921</v>
      </c>
      <c r="C921" s="39">
        <v>95350764349</v>
      </c>
      <c r="D921" s="68">
        <v>57439</v>
      </c>
      <c r="E921" s="69">
        <v>45910</v>
      </c>
      <c r="F921" s="39">
        <v>293.97000000000003</v>
      </c>
      <c r="H921" t="s">
        <v>215</v>
      </c>
      <c r="I921" s="32" t="s">
        <v>475</v>
      </c>
      <c r="J921" s="31" t="str">
        <f t="shared" si="14"/>
        <v>57439 45910</v>
      </c>
    </row>
    <row r="922" spans="1:10" x14ac:dyDescent="0.25">
      <c r="A922">
        <v>922</v>
      </c>
      <c r="C922" s="39">
        <v>95350764349</v>
      </c>
      <c r="D922" s="68">
        <v>57439</v>
      </c>
      <c r="E922" s="69">
        <v>45879</v>
      </c>
      <c r="F922" s="39">
        <v>293.97000000000003</v>
      </c>
      <c r="H922" t="s">
        <v>215</v>
      </c>
      <c r="I922" s="32" t="s">
        <v>475</v>
      </c>
      <c r="J922" s="31" t="str">
        <f t="shared" si="14"/>
        <v>57439 45879</v>
      </c>
    </row>
    <row r="923" spans="1:10" x14ac:dyDescent="0.25">
      <c r="A923">
        <v>923</v>
      </c>
      <c r="C923" s="39">
        <v>95350764349</v>
      </c>
      <c r="D923" s="68">
        <v>57439</v>
      </c>
      <c r="E923" s="69">
        <v>45848</v>
      </c>
      <c r="F923" s="39">
        <v>293.97000000000003</v>
      </c>
      <c r="H923" t="s">
        <v>215</v>
      </c>
      <c r="I923" s="32" t="s">
        <v>475</v>
      </c>
      <c r="J923" s="31" t="str">
        <f t="shared" si="14"/>
        <v>57439 45848</v>
      </c>
    </row>
    <row r="924" spans="1:10" x14ac:dyDescent="0.25">
      <c r="A924">
        <v>924</v>
      </c>
      <c r="C924" s="39">
        <v>95350764349</v>
      </c>
      <c r="D924" s="68">
        <v>57439</v>
      </c>
      <c r="E924" s="69">
        <v>45818</v>
      </c>
      <c r="F924" s="39">
        <v>293.97000000000003</v>
      </c>
      <c r="H924" t="s">
        <v>215</v>
      </c>
      <c r="I924" s="32" t="s">
        <v>475</v>
      </c>
      <c r="J924" s="31" t="str">
        <f t="shared" si="14"/>
        <v>57439 45818</v>
      </c>
    </row>
    <row r="925" spans="1:10" x14ac:dyDescent="0.25">
      <c r="A925">
        <v>925</v>
      </c>
      <c r="C925" s="39">
        <v>97012866349</v>
      </c>
      <c r="D925" s="68">
        <v>56544</v>
      </c>
      <c r="E925" s="69">
        <v>45910</v>
      </c>
      <c r="F925" s="39">
        <v>271.86</v>
      </c>
      <c r="H925" t="s">
        <v>215</v>
      </c>
      <c r="I925" s="32" t="s">
        <v>475</v>
      </c>
      <c r="J925" s="31" t="str">
        <f t="shared" si="14"/>
        <v>56544 45910</v>
      </c>
    </row>
    <row r="926" spans="1:10" x14ac:dyDescent="0.25">
      <c r="A926">
        <v>926</v>
      </c>
      <c r="C926" s="39">
        <v>99767414304</v>
      </c>
      <c r="D926" s="68">
        <v>67374</v>
      </c>
      <c r="E926" s="69">
        <v>45838</v>
      </c>
      <c r="F926" s="39">
        <v>248.88</v>
      </c>
      <c r="H926" t="s">
        <v>467</v>
      </c>
      <c r="I926" s="83">
        <v>45982</v>
      </c>
      <c r="J926" s="31" t="str">
        <f t="shared" si="14"/>
        <v>67374 45838</v>
      </c>
    </row>
    <row r="927" spans="1:10" x14ac:dyDescent="0.25">
      <c r="A927">
        <v>927</v>
      </c>
      <c r="C927" s="39">
        <v>99767414304</v>
      </c>
      <c r="D927" s="68">
        <v>67374</v>
      </c>
      <c r="E927" s="69">
        <v>45807</v>
      </c>
      <c r="F927" s="39">
        <v>248.88</v>
      </c>
      <c r="H927" t="s">
        <v>467</v>
      </c>
      <c r="I927" s="83">
        <v>45982</v>
      </c>
      <c r="J927" s="31" t="str">
        <f t="shared" si="14"/>
        <v>67374 45807</v>
      </c>
    </row>
    <row r="928" spans="1:10" x14ac:dyDescent="0.25">
      <c r="A928">
        <v>928</v>
      </c>
      <c r="C928" s="39" t="s">
        <v>304</v>
      </c>
      <c r="D928" s="68">
        <v>70351</v>
      </c>
      <c r="E928" s="69">
        <v>45879</v>
      </c>
      <c r="F928" s="39">
        <v>238.07</v>
      </c>
      <c r="H928" t="s">
        <v>215</v>
      </c>
      <c r="I928" s="32" t="s">
        <v>475</v>
      </c>
      <c r="J928" s="31" t="str">
        <f t="shared" si="14"/>
        <v>70351 45879</v>
      </c>
    </row>
    <row r="929" spans="1:10" x14ac:dyDescent="0.25">
      <c r="A929">
        <v>929</v>
      </c>
      <c r="C929" s="39" t="s">
        <v>305</v>
      </c>
      <c r="D929" s="68">
        <v>68747</v>
      </c>
      <c r="E929" s="69">
        <v>45899</v>
      </c>
      <c r="F929" s="39">
        <v>238.07</v>
      </c>
      <c r="H929" t="s">
        <v>215</v>
      </c>
      <c r="I929" s="32" t="s">
        <v>475</v>
      </c>
      <c r="J929" s="31" t="str">
        <f t="shared" si="14"/>
        <v>68747 45899</v>
      </c>
    </row>
    <row r="930" spans="1:10" x14ac:dyDescent="0.25">
      <c r="A930">
        <v>930</v>
      </c>
      <c r="C930" s="39" t="s">
        <v>306</v>
      </c>
      <c r="D930" s="68">
        <v>58726</v>
      </c>
      <c r="E930" s="69">
        <v>45899</v>
      </c>
      <c r="F930" s="39">
        <v>442.98</v>
      </c>
      <c r="H930" t="s">
        <v>215</v>
      </c>
      <c r="I930" s="32" t="s">
        <v>475</v>
      </c>
      <c r="J930" s="31" t="str">
        <f t="shared" si="14"/>
        <v>58726 45899</v>
      </c>
    </row>
    <row r="931" spans="1:10" x14ac:dyDescent="0.25">
      <c r="A931">
        <v>931</v>
      </c>
      <c r="C931" s="39" t="s">
        <v>307</v>
      </c>
      <c r="D931" s="68">
        <v>69525</v>
      </c>
      <c r="E931" s="69">
        <v>45910</v>
      </c>
      <c r="F931" s="39">
        <v>333.53</v>
      </c>
      <c r="H931" t="s">
        <v>215</v>
      </c>
      <c r="I931" s="32" t="s">
        <v>475</v>
      </c>
      <c r="J931" s="31" t="str">
        <f t="shared" ref="J931:J951" si="15">_xlfn.CONCAT(D931," ",E931)</f>
        <v>69525 45910</v>
      </c>
    </row>
    <row r="932" spans="1:10" x14ac:dyDescent="0.25">
      <c r="A932">
        <v>932</v>
      </c>
      <c r="C932" s="39" t="s">
        <v>308</v>
      </c>
      <c r="D932" s="68">
        <v>56270</v>
      </c>
      <c r="E932" s="69">
        <v>45868</v>
      </c>
      <c r="F932" s="39">
        <v>352.08</v>
      </c>
      <c r="H932" t="s">
        <v>215</v>
      </c>
      <c r="I932" s="32" t="s">
        <v>475</v>
      </c>
      <c r="J932" s="31" t="str">
        <f t="shared" si="15"/>
        <v>56270 45868</v>
      </c>
    </row>
    <row r="933" spans="1:10" x14ac:dyDescent="0.25">
      <c r="A933">
        <v>933</v>
      </c>
      <c r="C933" s="39" t="s">
        <v>308</v>
      </c>
      <c r="D933" s="68">
        <v>56270</v>
      </c>
      <c r="E933" s="69">
        <v>45838</v>
      </c>
      <c r="F933" s="39">
        <v>352.08</v>
      </c>
      <c r="H933" t="s">
        <v>215</v>
      </c>
      <c r="I933" s="32" t="s">
        <v>475</v>
      </c>
      <c r="J933" s="31" t="str">
        <f t="shared" si="15"/>
        <v>56270 45838</v>
      </c>
    </row>
    <row r="934" spans="1:10" x14ac:dyDescent="0.25">
      <c r="A934">
        <v>934</v>
      </c>
      <c r="C934" s="39" t="s">
        <v>308</v>
      </c>
      <c r="D934" s="68">
        <v>56270</v>
      </c>
      <c r="E934" s="69">
        <v>45807</v>
      </c>
      <c r="F934" s="39">
        <v>352.08</v>
      </c>
      <c r="H934" t="s">
        <v>215</v>
      </c>
      <c r="I934" s="32" t="s">
        <v>475</v>
      </c>
      <c r="J934" s="31" t="str">
        <f t="shared" si="15"/>
        <v>56270 45807</v>
      </c>
    </row>
    <row r="935" spans="1:10" x14ac:dyDescent="0.25">
      <c r="A935">
        <v>935</v>
      </c>
      <c r="C935" s="39" t="s">
        <v>309</v>
      </c>
      <c r="D935" s="68">
        <v>71270</v>
      </c>
      <c r="E935" s="69">
        <v>45889</v>
      </c>
      <c r="F935" s="39">
        <v>186.61</v>
      </c>
      <c r="H935" t="s">
        <v>215</v>
      </c>
      <c r="I935" s="32" t="s">
        <v>475</v>
      </c>
      <c r="J935" s="31" t="str">
        <f t="shared" si="15"/>
        <v>71270 45889</v>
      </c>
    </row>
    <row r="936" spans="1:10" x14ac:dyDescent="0.25">
      <c r="A936">
        <v>936</v>
      </c>
      <c r="C936" s="39" t="s">
        <v>309</v>
      </c>
      <c r="D936" s="68">
        <v>71270</v>
      </c>
      <c r="E936" s="69">
        <v>45858</v>
      </c>
      <c r="F936" s="39">
        <v>218.61</v>
      </c>
      <c r="H936" t="s">
        <v>215</v>
      </c>
      <c r="I936" s="32" t="s">
        <v>475</v>
      </c>
      <c r="J936" s="31" t="str">
        <f t="shared" si="15"/>
        <v>71270 45858</v>
      </c>
    </row>
    <row r="937" spans="1:10" x14ac:dyDescent="0.25">
      <c r="A937">
        <v>937</v>
      </c>
      <c r="C937" s="39" t="s">
        <v>310</v>
      </c>
      <c r="D937" s="68">
        <v>70893</v>
      </c>
      <c r="E937" s="69">
        <v>45889</v>
      </c>
      <c r="F937" s="39">
        <v>268.13</v>
      </c>
      <c r="H937" t="s">
        <v>215</v>
      </c>
      <c r="I937" s="32" t="s">
        <v>475</v>
      </c>
      <c r="J937" s="31" t="str">
        <f t="shared" si="15"/>
        <v>70893 45889</v>
      </c>
    </row>
    <row r="938" spans="1:10" x14ac:dyDescent="0.25">
      <c r="A938">
        <v>938</v>
      </c>
      <c r="C938" s="39" t="s">
        <v>311</v>
      </c>
      <c r="D938" s="68">
        <v>72689</v>
      </c>
      <c r="E938" s="69">
        <v>45899</v>
      </c>
      <c r="F938" s="39">
        <v>269.23</v>
      </c>
      <c r="H938" t="s">
        <v>215</v>
      </c>
      <c r="I938" s="32" t="s">
        <v>475</v>
      </c>
      <c r="J938" s="31" t="str">
        <f t="shared" si="15"/>
        <v>72689 45899</v>
      </c>
    </row>
    <row r="939" spans="1:10" x14ac:dyDescent="0.25">
      <c r="A939">
        <v>939</v>
      </c>
      <c r="C939" s="39" t="s">
        <v>312</v>
      </c>
      <c r="D939" s="68">
        <v>69054</v>
      </c>
      <c r="E939" s="69">
        <v>45899</v>
      </c>
      <c r="F939" s="39">
        <v>323.14</v>
      </c>
      <c r="H939" t="s">
        <v>215</v>
      </c>
      <c r="I939" s="32" t="s">
        <v>475</v>
      </c>
      <c r="J939" s="31" t="str">
        <f t="shared" si="15"/>
        <v>69054 45899</v>
      </c>
    </row>
    <row r="940" spans="1:10" x14ac:dyDescent="0.25">
      <c r="A940">
        <v>940</v>
      </c>
      <c r="C940" s="39" t="s">
        <v>312</v>
      </c>
      <c r="D940" s="68">
        <v>64564</v>
      </c>
      <c r="E940" s="69">
        <v>45899</v>
      </c>
      <c r="F940" s="39">
        <v>300.41000000000003</v>
      </c>
      <c r="H940" t="s">
        <v>215</v>
      </c>
      <c r="I940" s="32" t="s">
        <v>475</v>
      </c>
      <c r="J940" s="31" t="str">
        <f t="shared" si="15"/>
        <v>64564 45899</v>
      </c>
    </row>
    <row r="941" spans="1:10" x14ac:dyDescent="0.25">
      <c r="A941">
        <v>941</v>
      </c>
      <c r="C941" s="39" t="s">
        <v>168</v>
      </c>
      <c r="D941" s="68">
        <v>70369</v>
      </c>
      <c r="E941" s="69">
        <v>45910</v>
      </c>
      <c r="F941" s="39">
        <v>238.07</v>
      </c>
      <c r="H941" t="s">
        <v>215</v>
      </c>
      <c r="I941" s="32" t="s">
        <v>475</v>
      </c>
      <c r="J941" s="31" t="str">
        <f t="shared" si="15"/>
        <v>70369 45910</v>
      </c>
    </row>
    <row r="942" spans="1:10" x14ac:dyDescent="0.25">
      <c r="A942">
        <v>942</v>
      </c>
      <c r="C942" s="40" t="s">
        <v>313</v>
      </c>
      <c r="D942" s="71">
        <v>69604</v>
      </c>
      <c r="E942" s="72">
        <v>45889</v>
      </c>
      <c r="F942" s="40">
        <v>917.6</v>
      </c>
      <c r="H942" t="s">
        <v>118</v>
      </c>
      <c r="I942" s="32" t="s">
        <v>475</v>
      </c>
      <c r="J942" s="31" t="str">
        <f t="shared" si="15"/>
        <v>69604 45889</v>
      </c>
    </row>
    <row r="943" spans="1:10" x14ac:dyDescent="0.25">
      <c r="A943">
        <v>943</v>
      </c>
      <c r="C943" s="39">
        <v>36554103368</v>
      </c>
      <c r="D943" s="68">
        <v>56522</v>
      </c>
      <c r="E943" s="69">
        <v>45899</v>
      </c>
      <c r="F943" s="39">
        <v>383.5</v>
      </c>
      <c r="H943" t="s">
        <v>215</v>
      </c>
      <c r="I943" s="32" t="s">
        <v>475</v>
      </c>
      <c r="J943" s="31" t="str">
        <f t="shared" si="15"/>
        <v>56522 45899</v>
      </c>
    </row>
    <row r="944" spans="1:10" x14ac:dyDescent="0.25">
      <c r="A944">
        <v>944</v>
      </c>
      <c r="C944" s="39">
        <v>28152379387</v>
      </c>
      <c r="D944" s="68">
        <v>13871</v>
      </c>
      <c r="E944" s="69">
        <v>45915</v>
      </c>
      <c r="F944" s="39">
        <v>272.41000000000003</v>
      </c>
      <c r="H944" t="s">
        <v>468</v>
      </c>
      <c r="I944" s="83">
        <v>45985</v>
      </c>
      <c r="J944" s="31" t="str">
        <f t="shared" si="15"/>
        <v>13871 45915</v>
      </c>
    </row>
    <row r="945" spans="1:10" x14ac:dyDescent="0.25">
      <c r="A945">
        <v>945</v>
      </c>
      <c r="C945" s="39" t="s">
        <v>315</v>
      </c>
      <c r="D945" s="68">
        <v>72173</v>
      </c>
      <c r="E945" s="69">
        <v>45899</v>
      </c>
      <c r="F945" s="39">
        <v>285.55</v>
      </c>
      <c r="H945" t="s">
        <v>215</v>
      </c>
      <c r="I945" s="83">
        <v>45985</v>
      </c>
      <c r="J945" s="31" t="str">
        <f t="shared" si="15"/>
        <v>72173 45899</v>
      </c>
    </row>
    <row r="946" spans="1:10" x14ac:dyDescent="0.25">
      <c r="A946">
        <v>946</v>
      </c>
      <c r="C946" s="39">
        <v>76055000415</v>
      </c>
      <c r="D946" s="68">
        <v>45546</v>
      </c>
      <c r="E946" s="69">
        <v>45392</v>
      </c>
      <c r="F946" s="39">
        <v>307.75</v>
      </c>
      <c r="H946" t="s">
        <v>215</v>
      </c>
      <c r="I946" s="83">
        <v>45985</v>
      </c>
      <c r="J946" s="31" t="str">
        <f t="shared" si="15"/>
        <v>45546 45392</v>
      </c>
    </row>
    <row r="947" spans="1:10" x14ac:dyDescent="0.25">
      <c r="A947">
        <v>947</v>
      </c>
      <c r="C947" s="39">
        <v>71050779215</v>
      </c>
      <c r="D947" s="68">
        <v>30293</v>
      </c>
      <c r="E947" s="69">
        <v>45915</v>
      </c>
      <c r="F947" s="39">
        <v>610.71</v>
      </c>
      <c r="H947" t="s">
        <v>468</v>
      </c>
      <c r="I947" s="83">
        <v>45985</v>
      </c>
      <c r="J947" s="31" t="str">
        <f t="shared" si="15"/>
        <v>30293 45915</v>
      </c>
    </row>
    <row r="948" spans="1:10" x14ac:dyDescent="0.25">
      <c r="A948">
        <v>948</v>
      </c>
      <c r="C948" s="39">
        <v>81610858115</v>
      </c>
      <c r="D948" s="68">
        <v>42267</v>
      </c>
      <c r="E948" s="69">
        <v>45910</v>
      </c>
      <c r="F948" s="39">
        <v>570.76</v>
      </c>
      <c r="H948" t="s">
        <v>215</v>
      </c>
      <c r="I948" s="83">
        <v>45985</v>
      </c>
      <c r="J948" s="31" t="str">
        <f t="shared" si="15"/>
        <v>42267 45910</v>
      </c>
    </row>
    <row r="949" spans="1:10" x14ac:dyDescent="0.25">
      <c r="A949">
        <v>949</v>
      </c>
      <c r="C949" s="39" t="s">
        <v>317</v>
      </c>
      <c r="D949" s="68">
        <v>33204</v>
      </c>
      <c r="E949" s="69">
        <v>45915</v>
      </c>
      <c r="F949" s="39">
        <v>250.47</v>
      </c>
      <c r="H949" t="s">
        <v>468</v>
      </c>
      <c r="I949" s="83">
        <v>45985</v>
      </c>
      <c r="J949" s="31" t="str">
        <f t="shared" si="15"/>
        <v>33204 45915</v>
      </c>
    </row>
    <row r="950" spans="1:10" x14ac:dyDescent="0.25">
      <c r="A950">
        <v>950</v>
      </c>
      <c r="C950" s="39" t="s">
        <v>316</v>
      </c>
      <c r="D950" s="68">
        <v>72701</v>
      </c>
      <c r="E950" s="69">
        <v>45910</v>
      </c>
      <c r="F950" s="39">
        <v>385.44</v>
      </c>
      <c r="H950" t="s">
        <v>215</v>
      </c>
      <c r="I950" s="83">
        <v>45985</v>
      </c>
      <c r="J950" s="31" t="str">
        <f t="shared" si="15"/>
        <v>72701 45910</v>
      </c>
    </row>
    <row r="951" spans="1:10" x14ac:dyDescent="0.25">
      <c r="A951">
        <v>951</v>
      </c>
      <c r="C951" s="40" t="s">
        <v>316</v>
      </c>
      <c r="D951" s="71">
        <v>72701</v>
      </c>
      <c r="E951" s="72">
        <v>45787</v>
      </c>
      <c r="F951" s="40">
        <v>384.42</v>
      </c>
      <c r="H951" t="s">
        <v>215</v>
      </c>
      <c r="I951" s="83">
        <v>45985</v>
      </c>
      <c r="J951" s="31" t="str">
        <f t="shared" si="15"/>
        <v>72701 45787</v>
      </c>
    </row>
    <row r="952" spans="1:10" x14ac:dyDescent="0.25">
      <c r="A952">
        <v>952</v>
      </c>
      <c r="C952" s="77">
        <v>25066072349</v>
      </c>
      <c r="D952" s="77">
        <v>23956</v>
      </c>
      <c r="E952" s="77" t="s">
        <v>322</v>
      </c>
      <c r="F952" s="66">
        <v>757.48</v>
      </c>
      <c r="H952" t="s">
        <v>469</v>
      </c>
      <c r="I952" s="83">
        <v>45987</v>
      </c>
    </row>
    <row r="953" spans="1:10" x14ac:dyDescent="0.25">
      <c r="A953">
        <v>953</v>
      </c>
      <c r="C953" s="77">
        <v>96583630320</v>
      </c>
      <c r="D953" s="77">
        <v>71698</v>
      </c>
      <c r="E953" s="77" t="s">
        <v>323</v>
      </c>
      <c r="F953" s="66">
        <v>381.37</v>
      </c>
      <c r="H953" t="s">
        <v>469</v>
      </c>
      <c r="I953" s="83">
        <v>45987</v>
      </c>
    </row>
    <row r="954" spans="1:10" x14ac:dyDescent="0.25">
      <c r="A954">
        <v>954</v>
      </c>
      <c r="C954" s="77">
        <v>95350764349</v>
      </c>
      <c r="D954" s="77">
        <v>57439</v>
      </c>
      <c r="E954" s="77" t="s">
        <v>324</v>
      </c>
      <c r="F954" s="66">
        <v>293.97000000000003</v>
      </c>
      <c r="H954" t="s">
        <v>469</v>
      </c>
      <c r="I954" s="83">
        <v>45987</v>
      </c>
    </row>
    <row r="955" spans="1:10" x14ac:dyDescent="0.25">
      <c r="A955">
        <v>955</v>
      </c>
      <c r="C955" s="77" t="s">
        <v>141</v>
      </c>
      <c r="D955" s="77">
        <v>59022</v>
      </c>
      <c r="E955" s="77" t="s">
        <v>324</v>
      </c>
      <c r="F955" s="66">
        <v>474.23</v>
      </c>
      <c r="H955" t="s">
        <v>469</v>
      </c>
      <c r="I955" s="83">
        <v>45987</v>
      </c>
    </row>
    <row r="956" spans="1:10" x14ac:dyDescent="0.25">
      <c r="A956">
        <v>956</v>
      </c>
      <c r="C956" s="77" t="s">
        <v>287</v>
      </c>
      <c r="D956" s="77">
        <v>67975</v>
      </c>
      <c r="E956" s="77" t="s">
        <v>325</v>
      </c>
      <c r="F956" s="66">
        <v>512.58000000000004</v>
      </c>
      <c r="H956" t="s">
        <v>469</v>
      </c>
      <c r="I956" s="83">
        <v>45987</v>
      </c>
    </row>
    <row r="957" spans="1:10" x14ac:dyDescent="0.25">
      <c r="A957">
        <v>957</v>
      </c>
      <c r="C957" s="77" t="s">
        <v>156</v>
      </c>
      <c r="D957" s="77">
        <v>56972</v>
      </c>
      <c r="E957" s="77" t="s">
        <v>326</v>
      </c>
      <c r="F957" s="66">
        <v>293.97000000000003</v>
      </c>
      <c r="H957" t="s">
        <v>469</v>
      </c>
      <c r="I957" s="83">
        <v>45987</v>
      </c>
    </row>
    <row r="958" spans="1:10" x14ac:dyDescent="0.25">
      <c r="A958">
        <v>958</v>
      </c>
      <c r="C958" s="77">
        <v>95350764349</v>
      </c>
      <c r="D958" s="77">
        <v>57439</v>
      </c>
      <c r="E958" s="77" t="s">
        <v>326</v>
      </c>
      <c r="F958" s="66">
        <v>293.97000000000003</v>
      </c>
      <c r="H958" t="s">
        <v>469</v>
      </c>
      <c r="I958" s="83">
        <v>45987</v>
      </c>
    </row>
    <row r="959" spans="1:10" x14ac:dyDescent="0.25">
      <c r="A959">
        <v>959</v>
      </c>
      <c r="C959" s="77" t="s">
        <v>141</v>
      </c>
      <c r="D959" s="77">
        <v>59022</v>
      </c>
      <c r="E959" s="77" t="s">
        <v>326</v>
      </c>
      <c r="F959" s="66">
        <v>474.23</v>
      </c>
      <c r="H959" t="s">
        <v>469</v>
      </c>
      <c r="I959" s="83">
        <v>45987</v>
      </c>
    </row>
    <row r="960" spans="1:10" x14ac:dyDescent="0.25">
      <c r="A960">
        <v>962</v>
      </c>
      <c r="C960" s="77" t="s">
        <v>174</v>
      </c>
      <c r="D960" s="77">
        <v>71065</v>
      </c>
      <c r="E960" s="77" t="s">
        <v>326</v>
      </c>
      <c r="F960" s="66">
        <v>244.21</v>
      </c>
      <c r="H960" t="s">
        <v>469</v>
      </c>
      <c r="I960" s="83">
        <v>45987</v>
      </c>
    </row>
    <row r="961" spans="1:9" x14ac:dyDescent="0.25">
      <c r="A961">
        <v>963</v>
      </c>
      <c r="C961" s="77" t="s">
        <v>287</v>
      </c>
      <c r="D961" s="77">
        <v>67975</v>
      </c>
      <c r="E961" s="77" t="s">
        <v>327</v>
      </c>
      <c r="F961" s="66">
        <v>525.94000000000005</v>
      </c>
      <c r="H961" t="s">
        <v>469</v>
      </c>
      <c r="I961" s="83">
        <v>45987</v>
      </c>
    </row>
    <row r="962" spans="1:9" x14ac:dyDescent="0.25">
      <c r="A962">
        <v>964</v>
      </c>
      <c r="C962" s="77">
        <v>32842600304</v>
      </c>
      <c r="D962" s="77">
        <v>11419</v>
      </c>
      <c r="E962" s="77" t="s">
        <v>328</v>
      </c>
      <c r="F962" s="66">
        <v>284.48</v>
      </c>
      <c r="H962" t="s">
        <v>469</v>
      </c>
      <c r="I962" s="83">
        <v>45987</v>
      </c>
    </row>
    <row r="963" spans="1:9" x14ac:dyDescent="0.25">
      <c r="A963">
        <v>965</v>
      </c>
      <c r="C963" s="77">
        <v>64020231320</v>
      </c>
      <c r="D963" s="77">
        <v>11639</v>
      </c>
      <c r="E963" s="77" t="s">
        <v>328</v>
      </c>
      <c r="F963" s="66">
        <v>295.02</v>
      </c>
      <c r="H963" t="s">
        <v>469</v>
      </c>
      <c r="I963" s="83">
        <v>45987</v>
      </c>
    </row>
    <row r="964" spans="1:9" x14ac:dyDescent="0.25">
      <c r="A964">
        <v>966</v>
      </c>
      <c r="C964" s="77">
        <v>62349762394</v>
      </c>
      <c r="D964" s="77">
        <v>13605</v>
      </c>
      <c r="E964" s="77" t="s">
        <v>328</v>
      </c>
      <c r="F964" s="66">
        <v>283.7</v>
      </c>
      <c r="H964" t="s">
        <v>469</v>
      </c>
      <c r="I964" s="83">
        <v>45987</v>
      </c>
    </row>
    <row r="965" spans="1:9" x14ac:dyDescent="0.25">
      <c r="A965">
        <v>967</v>
      </c>
      <c r="C965" s="77">
        <v>57649901300</v>
      </c>
      <c r="D965" s="77">
        <v>14587</v>
      </c>
      <c r="E965" s="77" t="s">
        <v>328</v>
      </c>
      <c r="F965" s="66">
        <v>312.3</v>
      </c>
      <c r="H965" t="s">
        <v>469</v>
      </c>
      <c r="I965" s="83">
        <v>45987</v>
      </c>
    </row>
    <row r="966" spans="1:9" x14ac:dyDescent="0.25">
      <c r="A966">
        <v>968</v>
      </c>
      <c r="C966" s="77">
        <v>74257587334</v>
      </c>
      <c r="D966" s="77">
        <v>15019</v>
      </c>
      <c r="E966" s="77" t="s">
        <v>328</v>
      </c>
      <c r="F966" s="66">
        <v>1353.47</v>
      </c>
      <c r="H966" t="s">
        <v>378</v>
      </c>
      <c r="I966" s="83">
        <v>45987</v>
      </c>
    </row>
    <row r="967" spans="1:9" x14ac:dyDescent="0.25">
      <c r="A967">
        <v>969</v>
      </c>
      <c r="C967" s="77">
        <v>74257587334</v>
      </c>
      <c r="D967" s="77">
        <v>15019</v>
      </c>
      <c r="E967" s="77" t="s">
        <v>328</v>
      </c>
      <c r="F967" s="66">
        <v>1353.47</v>
      </c>
      <c r="H967" t="s">
        <v>379</v>
      </c>
      <c r="I967" s="83">
        <v>45987</v>
      </c>
    </row>
    <row r="968" spans="1:9" x14ac:dyDescent="0.25">
      <c r="A968">
        <v>970</v>
      </c>
      <c r="C968" s="77">
        <v>74257587334</v>
      </c>
      <c r="D968" s="77">
        <v>15019</v>
      </c>
      <c r="E968" s="77" t="s">
        <v>328</v>
      </c>
      <c r="F968" s="66">
        <v>1353.47</v>
      </c>
      <c r="H968" t="s">
        <v>380</v>
      </c>
      <c r="I968" s="83">
        <v>45987</v>
      </c>
    </row>
    <row r="969" spans="1:9" x14ac:dyDescent="0.25">
      <c r="A969">
        <v>971</v>
      </c>
      <c r="C969" s="77">
        <v>74257587334</v>
      </c>
      <c r="D969" s="77">
        <v>15019</v>
      </c>
      <c r="E969" s="77" t="s">
        <v>328</v>
      </c>
      <c r="F969" s="66">
        <v>1353.47</v>
      </c>
      <c r="H969" t="s">
        <v>469</v>
      </c>
      <c r="I969" s="83">
        <v>45987</v>
      </c>
    </row>
    <row r="970" spans="1:9" x14ac:dyDescent="0.25">
      <c r="A970">
        <v>972</v>
      </c>
      <c r="C970" s="77">
        <v>74205650663</v>
      </c>
      <c r="D970" s="77">
        <v>27937</v>
      </c>
      <c r="E970" s="77" t="s">
        <v>328</v>
      </c>
      <c r="F970" s="66">
        <v>1466.59</v>
      </c>
      <c r="H970" t="s">
        <v>469</v>
      </c>
      <c r="I970" s="83">
        <v>45987</v>
      </c>
    </row>
    <row r="971" spans="1:9" x14ac:dyDescent="0.25">
      <c r="A971">
        <v>973</v>
      </c>
      <c r="C971" s="77">
        <v>74205650663</v>
      </c>
      <c r="D971" s="77">
        <v>27937</v>
      </c>
      <c r="E971" s="77" t="s">
        <v>328</v>
      </c>
      <c r="F971" s="66">
        <v>1466.59</v>
      </c>
      <c r="H971" t="s">
        <v>469</v>
      </c>
      <c r="I971" s="83">
        <v>45987</v>
      </c>
    </row>
    <row r="972" spans="1:9" x14ac:dyDescent="0.25">
      <c r="A972">
        <v>974</v>
      </c>
      <c r="C972" s="77" t="s">
        <v>151</v>
      </c>
      <c r="D972" s="77">
        <v>36926</v>
      </c>
      <c r="E972" s="77" t="s">
        <v>328</v>
      </c>
      <c r="F972" s="66">
        <v>193.62</v>
      </c>
      <c r="H972" t="s">
        <v>469</v>
      </c>
      <c r="I972" s="83">
        <v>45987</v>
      </c>
    </row>
    <row r="973" spans="1:9" x14ac:dyDescent="0.25">
      <c r="A973">
        <v>975</v>
      </c>
      <c r="C973" s="77">
        <v>96125659372</v>
      </c>
      <c r="D973" s="77">
        <v>37109</v>
      </c>
      <c r="E973" s="77" t="s">
        <v>328</v>
      </c>
      <c r="F973" s="66">
        <v>193.62</v>
      </c>
      <c r="H973" t="s">
        <v>215</v>
      </c>
      <c r="I973" s="83">
        <v>45987</v>
      </c>
    </row>
    <row r="974" spans="1:9" x14ac:dyDescent="0.25">
      <c r="A974">
        <v>976</v>
      </c>
      <c r="C974" s="77">
        <v>79949789320</v>
      </c>
      <c r="D974" s="77">
        <v>37914</v>
      </c>
      <c r="E974" s="77" t="s">
        <v>328</v>
      </c>
      <c r="F974" s="66">
        <v>268.54000000000002</v>
      </c>
      <c r="H974" t="s">
        <v>469</v>
      </c>
      <c r="I974" s="83">
        <v>45987</v>
      </c>
    </row>
    <row r="975" spans="1:9" x14ac:dyDescent="0.25">
      <c r="A975">
        <v>977</v>
      </c>
      <c r="C975" s="77" t="s">
        <v>167</v>
      </c>
      <c r="D975" s="77">
        <v>41102</v>
      </c>
      <c r="E975" s="77" t="s">
        <v>328</v>
      </c>
      <c r="F975" s="66">
        <v>602.77</v>
      </c>
      <c r="H975" t="s">
        <v>469</v>
      </c>
      <c r="I975" s="83">
        <v>45987</v>
      </c>
    </row>
    <row r="976" spans="1:9" x14ac:dyDescent="0.25">
      <c r="A976">
        <v>978</v>
      </c>
      <c r="C976" s="77">
        <v>62145452320</v>
      </c>
      <c r="D976" s="77">
        <v>41655</v>
      </c>
      <c r="E976" s="77" t="s">
        <v>328</v>
      </c>
      <c r="F976" s="66">
        <v>190.69</v>
      </c>
      <c r="H976" t="s">
        <v>469</v>
      </c>
      <c r="I976" s="83">
        <v>45987</v>
      </c>
    </row>
    <row r="977" spans="1:9" x14ac:dyDescent="0.25">
      <c r="A977">
        <v>979</v>
      </c>
      <c r="C977" s="77">
        <v>81610858115</v>
      </c>
      <c r="D977" s="77">
        <v>42267</v>
      </c>
      <c r="E977" s="77" t="s">
        <v>328</v>
      </c>
      <c r="F977" s="66">
        <v>570.76</v>
      </c>
      <c r="H977" t="s">
        <v>469</v>
      </c>
      <c r="I977" s="83">
        <v>45987</v>
      </c>
    </row>
    <row r="978" spans="1:9" x14ac:dyDescent="0.25">
      <c r="A978">
        <v>980</v>
      </c>
      <c r="C978" s="77">
        <v>81610858115</v>
      </c>
      <c r="D978" s="77">
        <v>42267</v>
      </c>
      <c r="E978" s="77" t="s">
        <v>328</v>
      </c>
      <c r="F978" s="66">
        <v>570.76</v>
      </c>
      <c r="H978" t="s">
        <v>469</v>
      </c>
      <c r="I978" s="83">
        <v>45987</v>
      </c>
    </row>
    <row r="979" spans="1:9" x14ac:dyDescent="0.25">
      <c r="A979">
        <v>981</v>
      </c>
      <c r="C979" s="77">
        <v>90078888387</v>
      </c>
      <c r="D979" s="77">
        <v>42268</v>
      </c>
      <c r="E979" s="77" t="s">
        <v>328</v>
      </c>
      <c r="F979" s="66">
        <v>351.8</v>
      </c>
      <c r="H979" t="s">
        <v>469</v>
      </c>
      <c r="I979" s="83">
        <v>45987</v>
      </c>
    </row>
    <row r="980" spans="1:9" x14ac:dyDescent="0.25">
      <c r="A980">
        <v>982</v>
      </c>
      <c r="C980" s="77">
        <v>40177645334</v>
      </c>
      <c r="D980" s="77">
        <v>42762</v>
      </c>
      <c r="E980" s="77" t="s">
        <v>328</v>
      </c>
      <c r="F980" s="66">
        <v>533.52</v>
      </c>
      <c r="H980" t="s">
        <v>118</v>
      </c>
      <c r="I980" s="32" t="s">
        <v>475</v>
      </c>
    </row>
    <row r="981" spans="1:9" x14ac:dyDescent="0.25">
      <c r="A981">
        <v>983</v>
      </c>
      <c r="C981" s="77">
        <v>40177645334</v>
      </c>
      <c r="D981" s="77">
        <v>42762</v>
      </c>
      <c r="E981" s="77" t="s">
        <v>328</v>
      </c>
      <c r="F981" s="66">
        <v>533.52</v>
      </c>
      <c r="H981" t="s">
        <v>118</v>
      </c>
      <c r="I981" s="32" t="s">
        <v>475</v>
      </c>
    </row>
    <row r="982" spans="1:9" x14ac:dyDescent="0.25">
      <c r="A982">
        <v>984</v>
      </c>
      <c r="C982" s="77">
        <v>40177645334</v>
      </c>
      <c r="D982" s="77">
        <v>42762</v>
      </c>
      <c r="E982" s="77" t="s">
        <v>328</v>
      </c>
      <c r="F982" s="66">
        <v>533.52</v>
      </c>
      <c r="H982" t="s">
        <v>118</v>
      </c>
      <c r="I982" s="32" t="s">
        <v>475</v>
      </c>
    </row>
    <row r="983" spans="1:9" x14ac:dyDescent="0.25">
      <c r="A983">
        <v>985</v>
      </c>
      <c r="C983" s="77">
        <v>61027421253</v>
      </c>
      <c r="D983" s="77">
        <v>43631</v>
      </c>
      <c r="E983" s="77" t="s">
        <v>328</v>
      </c>
      <c r="F983" s="66">
        <v>573.84</v>
      </c>
      <c r="H983" t="s">
        <v>469</v>
      </c>
      <c r="I983" s="83">
        <v>45987</v>
      </c>
    </row>
    <row r="984" spans="1:9" x14ac:dyDescent="0.25">
      <c r="A984">
        <v>986</v>
      </c>
      <c r="C984" s="77">
        <v>52320936300</v>
      </c>
      <c r="D984" s="77">
        <v>46204</v>
      </c>
      <c r="E984" s="77" t="s">
        <v>328</v>
      </c>
      <c r="F984" s="66">
        <v>297.04000000000002</v>
      </c>
      <c r="H984" t="s">
        <v>469</v>
      </c>
      <c r="I984" s="83">
        <v>45987</v>
      </c>
    </row>
    <row r="985" spans="1:9" x14ac:dyDescent="0.25">
      <c r="A985">
        <v>987</v>
      </c>
      <c r="C985" s="77" t="s">
        <v>158</v>
      </c>
      <c r="D985" s="77">
        <v>46699</v>
      </c>
      <c r="E985" s="77" t="s">
        <v>328</v>
      </c>
      <c r="F985" s="66">
        <v>191.98</v>
      </c>
      <c r="H985" t="s">
        <v>118</v>
      </c>
      <c r="I985" s="32" t="s">
        <v>475</v>
      </c>
    </row>
    <row r="986" spans="1:9" x14ac:dyDescent="0.25">
      <c r="A986">
        <v>988</v>
      </c>
      <c r="C986" s="77">
        <v>34498818334</v>
      </c>
      <c r="D986" s="77">
        <v>47954</v>
      </c>
      <c r="E986" s="77" t="s">
        <v>328</v>
      </c>
      <c r="F986" s="66">
        <v>268.38</v>
      </c>
      <c r="H986" t="s">
        <v>469</v>
      </c>
      <c r="I986" s="83">
        <v>45987</v>
      </c>
    </row>
    <row r="987" spans="1:9" x14ac:dyDescent="0.25">
      <c r="A987">
        <v>989</v>
      </c>
      <c r="C987" s="77">
        <v>60172993369</v>
      </c>
      <c r="D987" s="77">
        <v>49282</v>
      </c>
      <c r="E987" s="77" t="s">
        <v>328</v>
      </c>
      <c r="F987" s="66">
        <v>355.7</v>
      </c>
      <c r="H987" t="s">
        <v>469</v>
      </c>
      <c r="I987" s="83">
        <v>45987</v>
      </c>
    </row>
    <row r="988" spans="1:9" x14ac:dyDescent="0.25">
      <c r="A988">
        <v>990</v>
      </c>
      <c r="C988" s="77">
        <v>73098302372</v>
      </c>
      <c r="D988" s="77">
        <v>50243</v>
      </c>
      <c r="E988" s="77" t="s">
        <v>328</v>
      </c>
      <c r="F988" s="66">
        <v>456.39</v>
      </c>
      <c r="H988" t="s">
        <v>469</v>
      </c>
      <c r="I988" s="83">
        <v>45987</v>
      </c>
    </row>
    <row r="989" spans="1:9" x14ac:dyDescent="0.25">
      <c r="A989">
        <v>991</v>
      </c>
      <c r="C989" s="77" t="s">
        <v>158</v>
      </c>
      <c r="D989" s="77">
        <v>50286</v>
      </c>
      <c r="E989" s="77" t="s">
        <v>328</v>
      </c>
      <c r="F989" s="66">
        <v>297.01</v>
      </c>
      <c r="H989" t="s">
        <v>118</v>
      </c>
      <c r="I989" s="32" t="s">
        <v>475</v>
      </c>
    </row>
    <row r="990" spans="1:9" x14ac:dyDescent="0.25">
      <c r="A990">
        <v>992</v>
      </c>
      <c r="C990" s="77" t="s">
        <v>156</v>
      </c>
      <c r="D990" s="77">
        <v>56972</v>
      </c>
      <c r="E990" s="77" t="s">
        <v>328</v>
      </c>
      <c r="F990" s="66">
        <v>293.97000000000003</v>
      </c>
      <c r="H990" t="s">
        <v>469</v>
      </c>
      <c r="I990" s="83">
        <v>45987</v>
      </c>
    </row>
    <row r="991" spans="1:9" x14ac:dyDescent="0.25">
      <c r="A991">
        <v>993</v>
      </c>
      <c r="C991" s="77">
        <v>46689087387</v>
      </c>
      <c r="D991" s="77">
        <v>57241</v>
      </c>
      <c r="E991" s="77" t="s">
        <v>328</v>
      </c>
      <c r="F991" s="66">
        <v>475.89</v>
      </c>
      <c r="H991" t="s">
        <v>469</v>
      </c>
      <c r="I991" s="83">
        <v>45987</v>
      </c>
    </row>
    <row r="992" spans="1:9" x14ac:dyDescent="0.25">
      <c r="A992">
        <v>994</v>
      </c>
      <c r="C992" s="77">
        <v>95350764349</v>
      </c>
      <c r="D992" s="77">
        <v>57439</v>
      </c>
      <c r="E992" s="77" t="s">
        <v>328</v>
      </c>
      <c r="F992" s="66">
        <v>293.97000000000003</v>
      </c>
      <c r="H992" t="s">
        <v>469</v>
      </c>
      <c r="I992" s="83">
        <v>45987</v>
      </c>
    </row>
    <row r="993" spans="1:9" x14ac:dyDescent="0.25">
      <c r="A993">
        <v>995</v>
      </c>
      <c r="C993" s="77">
        <v>55806627349</v>
      </c>
      <c r="D993" s="77">
        <v>57466</v>
      </c>
      <c r="E993" s="77" t="s">
        <v>328</v>
      </c>
      <c r="F993" s="66">
        <v>1275.76</v>
      </c>
      <c r="H993" t="s">
        <v>469</v>
      </c>
      <c r="I993" s="83">
        <v>45987</v>
      </c>
    </row>
    <row r="994" spans="1:9" x14ac:dyDescent="0.25">
      <c r="A994">
        <v>996</v>
      </c>
      <c r="C994" s="77">
        <v>40202577287</v>
      </c>
      <c r="D994" s="77">
        <v>58508</v>
      </c>
      <c r="E994" s="77" t="s">
        <v>328</v>
      </c>
      <c r="F994" s="66">
        <v>575.9</v>
      </c>
      <c r="H994" t="s">
        <v>469</v>
      </c>
      <c r="I994" s="83">
        <v>45987</v>
      </c>
    </row>
    <row r="995" spans="1:9" x14ac:dyDescent="0.25">
      <c r="A995">
        <v>997</v>
      </c>
      <c r="C995" s="77" t="s">
        <v>141</v>
      </c>
      <c r="D995" s="77">
        <v>59022</v>
      </c>
      <c r="E995" s="77" t="s">
        <v>328</v>
      </c>
      <c r="F995" s="66">
        <v>502.97</v>
      </c>
      <c r="H995" t="s">
        <v>469</v>
      </c>
      <c r="I995" s="83">
        <v>45987</v>
      </c>
    </row>
    <row r="996" spans="1:9" x14ac:dyDescent="0.25">
      <c r="A996">
        <v>998</v>
      </c>
      <c r="C996" s="77" t="s">
        <v>149</v>
      </c>
      <c r="D996" s="77">
        <v>59845</v>
      </c>
      <c r="E996" s="77" t="s">
        <v>328</v>
      </c>
      <c r="F996" s="66">
        <v>293.97000000000003</v>
      </c>
      <c r="H996" t="s">
        <v>469</v>
      </c>
      <c r="I996" s="83">
        <v>45987</v>
      </c>
    </row>
    <row r="997" spans="1:9" x14ac:dyDescent="0.25">
      <c r="A997">
        <v>999</v>
      </c>
      <c r="C997" s="77">
        <v>64359093349</v>
      </c>
      <c r="D997" s="77">
        <v>60113</v>
      </c>
      <c r="E997" s="77" t="s">
        <v>328</v>
      </c>
      <c r="F997" s="66">
        <v>365.27</v>
      </c>
      <c r="H997" t="s">
        <v>469</v>
      </c>
      <c r="I997" s="83">
        <v>45987</v>
      </c>
    </row>
    <row r="998" spans="1:9" x14ac:dyDescent="0.25">
      <c r="A998">
        <v>1000</v>
      </c>
      <c r="C998" s="77">
        <v>27243516300</v>
      </c>
      <c r="D998" s="77">
        <v>60535</v>
      </c>
      <c r="E998" s="77" t="s">
        <v>328</v>
      </c>
      <c r="F998" s="66">
        <v>365.27</v>
      </c>
      <c r="H998" t="s">
        <v>469</v>
      </c>
      <c r="I998" s="83">
        <v>45987</v>
      </c>
    </row>
    <row r="999" spans="1:9" x14ac:dyDescent="0.25">
      <c r="A999">
        <v>1001</v>
      </c>
      <c r="C999" s="77">
        <v>81297904320</v>
      </c>
      <c r="D999" s="77">
        <v>61345</v>
      </c>
      <c r="E999" s="77" t="s">
        <v>328</v>
      </c>
      <c r="F999" s="66">
        <v>313.68</v>
      </c>
      <c r="H999" t="s">
        <v>469</v>
      </c>
      <c r="I999" s="83">
        <v>45987</v>
      </c>
    </row>
    <row r="1000" spans="1:9" x14ac:dyDescent="0.25">
      <c r="A1000">
        <v>1002</v>
      </c>
      <c r="C1000" s="77">
        <v>64775526391</v>
      </c>
      <c r="D1000" s="77">
        <v>61465</v>
      </c>
      <c r="E1000" s="77" t="s">
        <v>328</v>
      </c>
      <c r="F1000" s="66">
        <v>272.39</v>
      </c>
      <c r="H1000" t="s">
        <v>469</v>
      </c>
      <c r="I1000" s="83">
        <v>45987</v>
      </c>
    </row>
    <row r="1001" spans="1:9" x14ac:dyDescent="0.25">
      <c r="A1001">
        <v>1003</v>
      </c>
      <c r="C1001" s="77" t="s">
        <v>155</v>
      </c>
      <c r="D1001" s="77">
        <v>62430</v>
      </c>
      <c r="E1001" s="77" t="s">
        <v>328</v>
      </c>
      <c r="F1001" s="66">
        <v>359.63</v>
      </c>
      <c r="H1001" t="s">
        <v>118</v>
      </c>
      <c r="I1001" s="32" t="s">
        <v>475</v>
      </c>
    </row>
    <row r="1002" spans="1:9" x14ac:dyDescent="0.25">
      <c r="A1002">
        <v>1004</v>
      </c>
      <c r="C1002" s="77" t="s">
        <v>160</v>
      </c>
      <c r="D1002" s="77">
        <v>62856</v>
      </c>
      <c r="E1002" s="77" t="s">
        <v>328</v>
      </c>
      <c r="F1002" s="66">
        <v>321.64</v>
      </c>
      <c r="H1002" t="s">
        <v>469</v>
      </c>
      <c r="I1002" s="83">
        <v>45987</v>
      </c>
    </row>
    <row r="1003" spans="1:9" x14ac:dyDescent="0.25">
      <c r="A1003">
        <v>1005</v>
      </c>
      <c r="C1003" s="77">
        <v>74692615320</v>
      </c>
      <c r="D1003" s="77">
        <v>63321</v>
      </c>
      <c r="E1003" s="77" t="s">
        <v>328</v>
      </c>
      <c r="F1003" s="66">
        <v>321.64</v>
      </c>
      <c r="H1003" t="s">
        <v>469</v>
      </c>
      <c r="I1003" s="83">
        <v>45987</v>
      </c>
    </row>
    <row r="1004" spans="1:9" x14ac:dyDescent="0.25">
      <c r="A1004">
        <v>1006</v>
      </c>
      <c r="C1004" s="77">
        <v>92567444300</v>
      </c>
      <c r="D1004" s="77">
        <v>64915</v>
      </c>
      <c r="E1004" s="77" t="s">
        <v>328</v>
      </c>
      <c r="F1004" s="66">
        <v>343.91</v>
      </c>
      <c r="H1004" t="s">
        <v>469</v>
      </c>
      <c r="I1004" s="83">
        <v>45987</v>
      </c>
    </row>
    <row r="1005" spans="1:9" x14ac:dyDescent="0.25">
      <c r="A1005">
        <v>1007</v>
      </c>
      <c r="C1005" s="77" t="s">
        <v>155</v>
      </c>
      <c r="D1005" s="77">
        <v>64996</v>
      </c>
      <c r="E1005" s="77" t="s">
        <v>328</v>
      </c>
      <c r="F1005" s="66">
        <v>343.91</v>
      </c>
      <c r="H1005" t="s">
        <v>118</v>
      </c>
      <c r="I1005" s="32" t="s">
        <v>475</v>
      </c>
    </row>
    <row r="1006" spans="1:9" x14ac:dyDescent="0.25">
      <c r="A1006">
        <v>1008</v>
      </c>
      <c r="C1006" s="77" t="s">
        <v>155</v>
      </c>
      <c r="D1006" s="77">
        <v>64996</v>
      </c>
      <c r="E1006" s="77" t="s">
        <v>328</v>
      </c>
      <c r="F1006" s="66">
        <v>343.91</v>
      </c>
      <c r="H1006" t="s">
        <v>118</v>
      </c>
      <c r="I1006" s="32" t="s">
        <v>475</v>
      </c>
    </row>
    <row r="1007" spans="1:9" x14ac:dyDescent="0.25">
      <c r="A1007">
        <v>1009</v>
      </c>
      <c r="C1007" s="77">
        <v>91845980344</v>
      </c>
      <c r="D1007" s="77">
        <v>65585</v>
      </c>
      <c r="E1007" s="77" t="s">
        <v>328</v>
      </c>
      <c r="F1007" s="66">
        <v>883.96</v>
      </c>
      <c r="H1007" t="s">
        <v>469</v>
      </c>
      <c r="I1007" s="83">
        <v>45987</v>
      </c>
    </row>
    <row r="1008" spans="1:9" x14ac:dyDescent="0.25">
      <c r="A1008">
        <v>1010</v>
      </c>
      <c r="C1008" s="77" t="s">
        <v>171</v>
      </c>
      <c r="D1008" s="77">
        <v>65914</v>
      </c>
      <c r="E1008" s="77" t="s">
        <v>328</v>
      </c>
      <c r="F1008" s="66">
        <v>384.33</v>
      </c>
      <c r="H1008" t="s">
        <v>118</v>
      </c>
      <c r="I1008" s="32" t="s">
        <v>475</v>
      </c>
    </row>
    <row r="1009" spans="1:9" x14ac:dyDescent="0.25">
      <c r="A1009">
        <v>1011</v>
      </c>
      <c r="C1009" s="77">
        <v>79704255349</v>
      </c>
      <c r="D1009" s="77">
        <v>66048</v>
      </c>
      <c r="E1009" s="77" t="s">
        <v>328</v>
      </c>
      <c r="F1009" s="66">
        <v>226.67</v>
      </c>
      <c r="H1009" t="s">
        <v>469</v>
      </c>
      <c r="I1009" s="83">
        <v>45987</v>
      </c>
    </row>
    <row r="1010" spans="1:9" x14ac:dyDescent="0.25">
      <c r="A1010">
        <v>1012</v>
      </c>
      <c r="C1010" s="77">
        <v>75161028300</v>
      </c>
      <c r="D1010" s="77">
        <v>66322</v>
      </c>
      <c r="E1010" s="77" t="s">
        <v>328</v>
      </c>
      <c r="F1010" s="66">
        <v>850.59</v>
      </c>
      <c r="H1010" t="s">
        <v>469</v>
      </c>
      <c r="I1010" s="83">
        <v>45987</v>
      </c>
    </row>
    <row r="1011" spans="1:9" x14ac:dyDescent="0.25">
      <c r="A1011">
        <v>1013</v>
      </c>
      <c r="C1011" s="77">
        <v>92428525387</v>
      </c>
      <c r="D1011" s="77">
        <v>66569</v>
      </c>
      <c r="E1011" s="77" t="s">
        <v>328</v>
      </c>
      <c r="F1011" s="66">
        <v>244.6</v>
      </c>
      <c r="H1011" t="s">
        <v>469</v>
      </c>
      <c r="I1011" s="83">
        <v>45987</v>
      </c>
    </row>
    <row r="1012" spans="1:9" x14ac:dyDescent="0.25">
      <c r="A1012">
        <v>1014</v>
      </c>
      <c r="C1012" s="77" t="s">
        <v>162</v>
      </c>
      <c r="D1012" s="77">
        <v>66724</v>
      </c>
      <c r="E1012" s="77" t="s">
        <v>328</v>
      </c>
      <c r="F1012" s="66">
        <v>213.72</v>
      </c>
      <c r="H1012" t="s">
        <v>469</v>
      </c>
      <c r="I1012" s="83">
        <v>45987</v>
      </c>
    </row>
    <row r="1013" spans="1:9" x14ac:dyDescent="0.25">
      <c r="A1013">
        <v>1015</v>
      </c>
      <c r="C1013" s="77">
        <v>83737669368</v>
      </c>
      <c r="D1013" s="77">
        <v>67265</v>
      </c>
      <c r="E1013" s="77" t="s">
        <v>328</v>
      </c>
      <c r="F1013" s="66">
        <v>222.71</v>
      </c>
      <c r="H1013" t="s">
        <v>469</v>
      </c>
      <c r="I1013" s="83">
        <v>45987</v>
      </c>
    </row>
    <row r="1014" spans="1:9" x14ac:dyDescent="0.25">
      <c r="A1014">
        <v>1016</v>
      </c>
      <c r="C1014" s="77">
        <v>83737669368</v>
      </c>
      <c r="D1014" s="77">
        <v>67266</v>
      </c>
      <c r="E1014" s="77" t="s">
        <v>328</v>
      </c>
      <c r="F1014" s="66">
        <v>254.21</v>
      </c>
      <c r="H1014" t="s">
        <v>469</v>
      </c>
      <c r="I1014" s="83">
        <v>45987</v>
      </c>
    </row>
    <row r="1015" spans="1:9" x14ac:dyDescent="0.25">
      <c r="A1015">
        <v>1017</v>
      </c>
      <c r="C1015" s="77">
        <v>92826547372</v>
      </c>
      <c r="D1015" s="77">
        <v>67505</v>
      </c>
      <c r="E1015" s="77" t="s">
        <v>328</v>
      </c>
      <c r="F1015" s="66">
        <v>823.94</v>
      </c>
      <c r="H1015" t="s">
        <v>469</v>
      </c>
      <c r="I1015" s="83">
        <v>45987</v>
      </c>
    </row>
    <row r="1016" spans="1:9" x14ac:dyDescent="0.25">
      <c r="A1016">
        <v>1018</v>
      </c>
      <c r="C1016" s="77">
        <v>85902438349</v>
      </c>
      <c r="D1016" s="77">
        <v>68049</v>
      </c>
      <c r="E1016" s="77" t="s">
        <v>328</v>
      </c>
      <c r="F1016" s="66">
        <v>246.9</v>
      </c>
      <c r="H1016" t="s">
        <v>469</v>
      </c>
      <c r="I1016" s="83">
        <v>45987</v>
      </c>
    </row>
    <row r="1017" spans="1:9" x14ac:dyDescent="0.25">
      <c r="A1017">
        <v>1019</v>
      </c>
      <c r="C1017" s="77" t="s">
        <v>165</v>
      </c>
      <c r="D1017" s="77">
        <v>68078</v>
      </c>
      <c r="E1017" s="77" t="s">
        <v>328</v>
      </c>
      <c r="F1017" s="66">
        <v>458.43</v>
      </c>
      <c r="H1017" t="s">
        <v>469</v>
      </c>
      <c r="I1017" s="83">
        <v>45987</v>
      </c>
    </row>
    <row r="1018" spans="1:9" x14ac:dyDescent="0.25">
      <c r="A1018">
        <v>1020</v>
      </c>
      <c r="C1018" s="77">
        <v>12579408304</v>
      </c>
      <c r="D1018" s="77">
        <v>68812</v>
      </c>
      <c r="E1018" s="77" t="s">
        <v>328</v>
      </c>
      <c r="F1018" s="66">
        <v>1427.89</v>
      </c>
      <c r="H1018" t="s">
        <v>118</v>
      </c>
      <c r="I1018" s="32" t="s">
        <v>475</v>
      </c>
    </row>
    <row r="1019" spans="1:9" x14ac:dyDescent="0.25">
      <c r="A1019">
        <v>1021</v>
      </c>
      <c r="C1019" s="77">
        <v>96482079172</v>
      </c>
      <c r="D1019" s="77">
        <v>68817</v>
      </c>
      <c r="E1019" s="77" t="s">
        <v>328</v>
      </c>
      <c r="F1019" s="66">
        <v>293.01</v>
      </c>
      <c r="H1019" t="s">
        <v>469</v>
      </c>
      <c r="I1019" s="83">
        <v>45987</v>
      </c>
    </row>
    <row r="1020" spans="1:9" x14ac:dyDescent="0.25">
      <c r="A1020">
        <v>1022</v>
      </c>
      <c r="C1020" s="77">
        <v>61020771305</v>
      </c>
      <c r="D1020" s="77">
        <v>68850</v>
      </c>
      <c r="E1020" s="77" t="s">
        <v>328</v>
      </c>
      <c r="F1020" s="66">
        <v>267.57</v>
      </c>
      <c r="H1020" t="s">
        <v>469</v>
      </c>
      <c r="I1020" s="83">
        <v>45987</v>
      </c>
    </row>
    <row r="1021" spans="1:9" x14ac:dyDescent="0.25">
      <c r="A1021">
        <v>1023</v>
      </c>
      <c r="C1021" s="77" t="s">
        <v>176</v>
      </c>
      <c r="D1021" s="77">
        <v>69107</v>
      </c>
      <c r="E1021" s="77" t="s">
        <v>328</v>
      </c>
      <c r="F1021" s="66">
        <v>1086.3699999999999</v>
      </c>
      <c r="H1021" t="s">
        <v>469</v>
      </c>
      <c r="I1021" s="83">
        <v>45987</v>
      </c>
    </row>
    <row r="1022" spans="1:9" x14ac:dyDescent="0.25">
      <c r="A1022">
        <v>1024</v>
      </c>
      <c r="C1022" s="77">
        <v>93510500334</v>
      </c>
      <c r="D1022" s="77">
        <v>69144</v>
      </c>
      <c r="E1022" s="77" t="s">
        <v>328</v>
      </c>
      <c r="F1022" s="66">
        <v>244.27</v>
      </c>
      <c r="H1022" t="s">
        <v>469</v>
      </c>
      <c r="I1022" s="83">
        <v>45987</v>
      </c>
    </row>
    <row r="1023" spans="1:9" x14ac:dyDescent="0.25">
      <c r="A1023">
        <v>1025</v>
      </c>
      <c r="C1023" s="77">
        <v>23808691387</v>
      </c>
      <c r="D1023" s="77">
        <v>69159</v>
      </c>
      <c r="E1023" s="77" t="s">
        <v>328</v>
      </c>
      <c r="F1023" s="66">
        <v>1657.94</v>
      </c>
      <c r="H1023" t="s">
        <v>469</v>
      </c>
      <c r="I1023" s="83">
        <v>45987</v>
      </c>
    </row>
    <row r="1024" spans="1:9" x14ac:dyDescent="0.25">
      <c r="A1024">
        <v>1026</v>
      </c>
      <c r="C1024" s="77">
        <v>23808691387</v>
      </c>
      <c r="D1024" s="77">
        <v>69159</v>
      </c>
      <c r="E1024" s="77" t="s">
        <v>328</v>
      </c>
      <c r="F1024" s="66">
        <v>1657.94</v>
      </c>
      <c r="H1024" t="s">
        <v>469</v>
      </c>
      <c r="I1024" s="83">
        <v>45987</v>
      </c>
    </row>
    <row r="1025" spans="1:9" x14ac:dyDescent="0.25">
      <c r="A1025">
        <v>1027</v>
      </c>
      <c r="C1025" s="77" t="s">
        <v>172</v>
      </c>
      <c r="D1025" s="77">
        <v>70344</v>
      </c>
      <c r="E1025" s="77" t="s">
        <v>328</v>
      </c>
      <c r="F1025" s="66">
        <v>313.35000000000002</v>
      </c>
      <c r="H1025" t="s">
        <v>469</v>
      </c>
      <c r="I1025" s="83">
        <v>45987</v>
      </c>
    </row>
    <row r="1026" spans="1:9" x14ac:dyDescent="0.25">
      <c r="A1026">
        <v>1028</v>
      </c>
      <c r="C1026" s="77" t="s">
        <v>168</v>
      </c>
      <c r="D1026" s="77">
        <v>70369</v>
      </c>
      <c r="E1026" s="77" t="s">
        <v>328</v>
      </c>
      <c r="F1026" s="66">
        <v>282.17</v>
      </c>
      <c r="H1026" t="s">
        <v>469</v>
      </c>
      <c r="I1026" s="83">
        <v>45987</v>
      </c>
    </row>
    <row r="1027" spans="1:9" x14ac:dyDescent="0.25">
      <c r="A1027">
        <v>1029</v>
      </c>
      <c r="C1027" s="77" t="s">
        <v>174</v>
      </c>
      <c r="D1027" s="77">
        <v>71065</v>
      </c>
      <c r="E1027" s="77" t="s">
        <v>328</v>
      </c>
      <c r="F1027" s="66">
        <v>244.21</v>
      </c>
      <c r="H1027" t="s">
        <v>469</v>
      </c>
      <c r="I1027" s="83">
        <v>45987</v>
      </c>
    </row>
    <row r="1028" spans="1:9" x14ac:dyDescent="0.25">
      <c r="A1028">
        <v>1030</v>
      </c>
      <c r="C1028" s="77">
        <v>62019344300</v>
      </c>
      <c r="D1028" s="77">
        <v>71439</v>
      </c>
      <c r="E1028" s="77" t="s">
        <v>328</v>
      </c>
      <c r="F1028" s="66">
        <v>243.95</v>
      </c>
      <c r="H1028" t="s">
        <v>469</v>
      </c>
      <c r="I1028" s="83">
        <v>45987</v>
      </c>
    </row>
    <row r="1029" spans="1:9" x14ac:dyDescent="0.25">
      <c r="A1029">
        <v>1031</v>
      </c>
      <c r="C1029" s="77" t="s">
        <v>163</v>
      </c>
      <c r="D1029" s="77">
        <v>72276</v>
      </c>
      <c r="E1029" s="77" t="s">
        <v>328</v>
      </c>
      <c r="F1029" s="66">
        <v>290.42</v>
      </c>
      <c r="H1029" t="s">
        <v>118</v>
      </c>
      <c r="I1029" s="32" t="s">
        <v>475</v>
      </c>
    </row>
    <row r="1030" spans="1:9" x14ac:dyDescent="0.25">
      <c r="A1030">
        <v>1032</v>
      </c>
      <c r="C1030" s="77">
        <v>20465211372</v>
      </c>
      <c r="D1030" s="77">
        <v>39628</v>
      </c>
      <c r="E1030" s="77" t="s">
        <v>329</v>
      </c>
      <c r="F1030" s="66">
        <v>193.62</v>
      </c>
      <c r="H1030" t="s">
        <v>215</v>
      </c>
      <c r="I1030" s="83">
        <v>45987</v>
      </c>
    </row>
    <row r="1031" spans="1:9" x14ac:dyDescent="0.25">
      <c r="A1031">
        <v>1033</v>
      </c>
      <c r="C1031" s="77">
        <v>36530832300</v>
      </c>
      <c r="D1031" s="77">
        <v>46170</v>
      </c>
      <c r="E1031" s="77" t="s">
        <v>330</v>
      </c>
      <c r="F1031" s="66">
        <v>250.38</v>
      </c>
      <c r="H1031" t="s">
        <v>215</v>
      </c>
      <c r="I1031" s="83">
        <v>45987</v>
      </c>
    </row>
    <row r="1032" spans="1:9" x14ac:dyDescent="0.25">
      <c r="A1032">
        <v>1034</v>
      </c>
      <c r="C1032" s="77">
        <v>36530832300</v>
      </c>
      <c r="D1032" s="77">
        <v>46169</v>
      </c>
      <c r="E1032" s="77" t="s">
        <v>330</v>
      </c>
      <c r="F1032" s="66">
        <v>191.98</v>
      </c>
      <c r="H1032" t="s">
        <v>215</v>
      </c>
      <c r="I1032" s="83">
        <v>45987</v>
      </c>
    </row>
    <row r="1033" spans="1:9" x14ac:dyDescent="0.25">
      <c r="A1033">
        <v>1035</v>
      </c>
      <c r="C1033" s="77">
        <v>36530832300</v>
      </c>
      <c r="D1033" s="77">
        <v>68492</v>
      </c>
      <c r="E1033" s="77" t="s">
        <v>329</v>
      </c>
      <c r="F1033" s="66">
        <v>764.84</v>
      </c>
      <c r="H1033" t="s">
        <v>215</v>
      </c>
      <c r="I1033" s="83">
        <v>45987</v>
      </c>
    </row>
    <row r="1034" spans="1:9" x14ac:dyDescent="0.25">
      <c r="A1034">
        <v>1036</v>
      </c>
      <c r="C1034" s="77">
        <v>36548146387</v>
      </c>
      <c r="D1034" s="77">
        <v>37248</v>
      </c>
      <c r="E1034" s="77" t="s">
        <v>331</v>
      </c>
      <c r="F1034" s="66">
        <v>252.52</v>
      </c>
      <c r="H1034" t="s">
        <v>215</v>
      </c>
      <c r="I1034" s="83">
        <v>45987</v>
      </c>
    </row>
    <row r="1035" spans="1:9" x14ac:dyDescent="0.25">
      <c r="A1035">
        <v>1037</v>
      </c>
      <c r="C1035" s="77">
        <v>41333756372</v>
      </c>
      <c r="D1035" s="77">
        <v>49011</v>
      </c>
      <c r="E1035" s="77" t="s">
        <v>330</v>
      </c>
      <c r="F1035" s="66">
        <v>315.01</v>
      </c>
      <c r="H1035" t="s">
        <v>469</v>
      </c>
      <c r="I1035" s="83">
        <v>45987</v>
      </c>
    </row>
    <row r="1036" spans="1:9" x14ac:dyDescent="0.25">
      <c r="A1036">
        <v>1038</v>
      </c>
      <c r="C1036" s="77">
        <v>54985633372</v>
      </c>
      <c r="D1036" s="77">
        <v>56027</v>
      </c>
      <c r="E1036" s="77" t="s">
        <v>330</v>
      </c>
      <c r="F1036" s="66">
        <v>249.43</v>
      </c>
      <c r="H1036" t="s">
        <v>118</v>
      </c>
      <c r="I1036" s="32" t="s">
        <v>475</v>
      </c>
    </row>
    <row r="1037" spans="1:9" x14ac:dyDescent="0.25">
      <c r="A1037">
        <v>1039</v>
      </c>
      <c r="C1037" s="77">
        <v>64359093349</v>
      </c>
      <c r="D1037" s="77">
        <v>60113</v>
      </c>
      <c r="E1037" s="77" t="s">
        <v>330</v>
      </c>
      <c r="F1037" s="66">
        <v>365.27</v>
      </c>
      <c r="H1037" t="s">
        <v>469</v>
      </c>
      <c r="I1037" s="83">
        <v>45987</v>
      </c>
    </row>
    <row r="1038" spans="1:9" x14ac:dyDescent="0.25">
      <c r="A1038">
        <v>1040</v>
      </c>
      <c r="C1038" s="77">
        <v>73360392353</v>
      </c>
      <c r="D1038" s="77">
        <v>52892</v>
      </c>
      <c r="E1038" s="77" t="s">
        <v>332</v>
      </c>
      <c r="F1038" s="66">
        <v>1242.43</v>
      </c>
      <c r="H1038" t="s">
        <v>215</v>
      </c>
      <c r="I1038" s="83">
        <v>45987</v>
      </c>
    </row>
    <row r="1039" spans="1:9" x14ac:dyDescent="0.25">
      <c r="A1039">
        <v>1041</v>
      </c>
      <c r="C1039" s="77">
        <v>74205650663</v>
      </c>
      <c r="D1039" s="77">
        <v>27937</v>
      </c>
      <c r="E1039" s="77" t="s">
        <v>330</v>
      </c>
      <c r="F1039" s="66">
        <v>1476.04</v>
      </c>
      <c r="H1039" t="s">
        <v>215</v>
      </c>
      <c r="I1039" s="83">
        <v>45987</v>
      </c>
    </row>
    <row r="1040" spans="1:9" x14ac:dyDescent="0.25">
      <c r="A1040">
        <v>1042</v>
      </c>
      <c r="C1040" s="77">
        <v>81396600353</v>
      </c>
      <c r="D1040" s="77">
        <v>61302</v>
      </c>
      <c r="E1040" s="77" t="s">
        <v>329</v>
      </c>
      <c r="F1040" s="66">
        <v>341.86</v>
      </c>
      <c r="H1040" t="s">
        <v>215</v>
      </c>
      <c r="I1040" s="83">
        <v>45987</v>
      </c>
    </row>
    <row r="1041" spans="1:9" x14ac:dyDescent="0.25">
      <c r="A1041">
        <v>1043</v>
      </c>
      <c r="C1041" s="77">
        <v>81610858115</v>
      </c>
      <c r="D1041" s="77">
        <v>42267</v>
      </c>
      <c r="E1041" s="77" t="s">
        <v>330</v>
      </c>
      <c r="F1041" s="66">
        <v>570.76</v>
      </c>
      <c r="H1041" t="s">
        <v>469</v>
      </c>
      <c r="I1041" s="83">
        <v>45987</v>
      </c>
    </row>
    <row r="1042" spans="1:9" x14ac:dyDescent="0.25">
      <c r="A1042">
        <v>1044</v>
      </c>
      <c r="C1042" s="77">
        <v>95350764349</v>
      </c>
      <c r="D1042" s="77">
        <v>57439</v>
      </c>
      <c r="E1042" s="77" t="s">
        <v>330</v>
      </c>
      <c r="F1042" s="66">
        <v>293.97000000000003</v>
      </c>
      <c r="H1042" t="s">
        <v>469</v>
      </c>
      <c r="I1042" s="83">
        <v>45987</v>
      </c>
    </row>
    <row r="1043" spans="1:9" x14ac:dyDescent="0.25">
      <c r="A1043">
        <v>1045</v>
      </c>
      <c r="C1043" s="77">
        <v>96125659372</v>
      </c>
      <c r="D1043" s="77">
        <v>37109</v>
      </c>
      <c r="E1043" s="77" t="s">
        <v>330</v>
      </c>
      <c r="F1043" s="66">
        <v>193.62</v>
      </c>
      <c r="H1043" t="s">
        <v>215</v>
      </c>
      <c r="I1043" s="83">
        <v>45987</v>
      </c>
    </row>
    <row r="1044" spans="1:9" x14ac:dyDescent="0.25">
      <c r="A1044">
        <v>1046</v>
      </c>
      <c r="C1044" s="77">
        <v>97012866349</v>
      </c>
      <c r="D1044" s="77">
        <v>56544</v>
      </c>
      <c r="E1044" s="77" t="s">
        <v>330</v>
      </c>
      <c r="F1044" s="66">
        <v>271.86</v>
      </c>
      <c r="H1044" t="s">
        <v>469</v>
      </c>
      <c r="I1044" s="83">
        <v>45987</v>
      </c>
    </row>
    <row r="1045" spans="1:9" x14ac:dyDescent="0.25">
      <c r="A1045">
        <v>1047</v>
      </c>
      <c r="C1045" s="77" t="s">
        <v>155</v>
      </c>
      <c r="D1045" s="77">
        <v>64996</v>
      </c>
      <c r="E1045" s="77" t="s">
        <v>330</v>
      </c>
      <c r="F1045" s="66">
        <v>343.91</v>
      </c>
      <c r="H1045" t="s">
        <v>215</v>
      </c>
      <c r="I1045" s="83">
        <v>45987</v>
      </c>
    </row>
    <row r="1046" spans="1:9" x14ac:dyDescent="0.25">
      <c r="A1046">
        <v>1048</v>
      </c>
      <c r="C1046" s="77" t="s">
        <v>155</v>
      </c>
      <c r="D1046" s="77">
        <v>62430</v>
      </c>
      <c r="E1046" s="77" t="s">
        <v>330</v>
      </c>
      <c r="F1046" s="66">
        <v>359.63</v>
      </c>
      <c r="H1046" t="s">
        <v>215</v>
      </c>
      <c r="I1046" s="83">
        <v>45987</v>
      </c>
    </row>
    <row r="1047" spans="1:9" x14ac:dyDescent="0.25">
      <c r="A1047">
        <v>1049</v>
      </c>
      <c r="C1047" s="77" t="s">
        <v>158</v>
      </c>
      <c r="D1047" s="77">
        <v>50286</v>
      </c>
      <c r="E1047" s="77" t="s">
        <v>330</v>
      </c>
      <c r="F1047" s="66">
        <v>297.01</v>
      </c>
      <c r="H1047" t="s">
        <v>215</v>
      </c>
      <c r="I1047" s="83">
        <v>45987</v>
      </c>
    </row>
    <row r="1048" spans="1:9" x14ac:dyDescent="0.25">
      <c r="A1048">
        <v>1050</v>
      </c>
      <c r="C1048" s="77" t="s">
        <v>307</v>
      </c>
      <c r="D1048" s="77">
        <v>69525</v>
      </c>
      <c r="E1048" s="77" t="s">
        <v>330</v>
      </c>
      <c r="F1048" s="66">
        <v>333.53</v>
      </c>
      <c r="H1048" t="s">
        <v>118</v>
      </c>
      <c r="I1048" s="32" t="s">
        <v>475</v>
      </c>
    </row>
    <row r="1049" spans="1:9" x14ac:dyDescent="0.25">
      <c r="A1049">
        <v>1051</v>
      </c>
      <c r="C1049" s="77" t="s">
        <v>319</v>
      </c>
      <c r="D1049" s="77">
        <v>64944</v>
      </c>
      <c r="E1049" s="77" t="s">
        <v>330</v>
      </c>
      <c r="F1049" s="66">
        <v>343.91</v>
      </c>
      <c r="H1049" t="s">
        <v>215</v>
      </c>
      <c r="I1049" s="83">
        <v>45987</v>
      </c>
    </row>
    <row r="1050" spans="1:9" x14ac:dyDescent="0.25">
      <c r="A1050">
        <v>1052</v>
      </c>
      <c r="C1050" s="77" t="s">
        <v>321</v>
      </c>
      <c r="D1050" s="77">
        <v>67784</v>
      </c>
      <c r="E1050" s="77" t="s">
        <v>330</v>
      </c>
      <c r="F1050" s="66">
        <v>316.23</v>
      </c>
      <c r="H1050" t="s">
        <v>215</v>
      </c>
      <c r="I1050" s="83">
        <v>45987</v>
      </c>
    </row>
    <row r="1051" spans="1:9" x14ac:dyDescent="0.25">
      <c r="A1051">
        <v>1053</v>
      </c>
      <c r="C1051" s="77" t="s">
        <v>163</v>
      </c>
      <c r="D1051" s="77">
        <v>72276</v>
      </c>
      <c r="E1051" s="77" t="s">
        <v>330</v>
      </c>
      <c r="F1051" s="66">
        <v>285.55</v>
      </c>
      <c r="H1051" t="s">
        <v>215</v>
      </c>
      <c r="I1051" s="83">
        <v>45987</v>
      </c>
    </row>
    <row r="1052" spans="1:9" x14ac:dyDescent="0.25">
      <c r="A1052">
        <v>1054</v>
      </c>
      <c r="C1052" s="77" t="s">
        <v>320</v>
      </c>
      <c r="D1052" s="77">
        <v>66925</v>
      </c>
      <c r="E1052" s="77" t="s">
        <v>330</v>
      </c>
      <c r="F1052" s="66">
        <v>213.72</v>
      </c>
      <c r="H1052" t="s">
        <v>215</v>
      </c>
      <c r="I1052" s="83">
        <v>45987</v>
      </c>
    </row>
    <row r="1053" spans="1:9" x14ac:dyDescent="0.25">
      <c r="A1053">
        <v>1055</v>
      </c>
      <c r="C1053" s="77" t="s">
        <v>168</v>
      </c>
      <c r="D1053" s="77">
        <v>70369</v>
      </c>
      <c r="E1053" s="77" t="s">
        <v>330</v>
      </c>
      <c r="F1053" s="66">
        <v>238.07</v>
      </c>
      <c r="H1053" t="s">
        <v>469</v>
      </c>
      <c r="I1053" s="83">
        <v>45987</v>
      </c>
    </row>
    <row r="1054" spans="1:9" x14ac:dyDescent="0.25">
      <c r="A1054">
        <v>1056</v>
      </c>
      <c r="C1054" s="77" t="s">
        <v>171</v>
      </c>
      <c r="D1054" s="77">
        <v>65914</v>
      </c>
      <c r="E1054" s="77" t="s">
        <v>330</v>
      </c>
      <c r="F1054" s="66">
        <v>384.33</v>
      </c>
      <c r="H1054" t="s">
        <v>215</v>
      </c>
      <c r="I1054" s="83">
        <v>45987</v>
      </c>
    </row>
    <row r="1055" spans="1:9" x14ac:dyDescent="0.25">
      <c r="A1055">
        <v>1057</v>
      </c>
      <c r="C1055" s="77">
        <v>47690836372</v>
      </c>
      <c r="D1055" s="77">
        <v>29677</v>
      </c>
      <c r="E1055" s="77" t="s">
        <v>333</v>
      </c>
      <c r="F1055" s="66">
        <v>81.96</v>
      </c>
      <c r="H1055" t="s">
        <v>469</v>
      </c>
      <c r="I1055" s="83">
        <v>45987</v>
      </c>
    </row>
    <row r="1056" spans="1:9" x14ac:dyDescent="0.25">
      <c r="A1056">
        <v>1058</v>
      </c>
      <c r="C1056" s="77">
        <v>58672370104</v>
      </c>
      <c r="D1056" s="77">
        <v>29690</v>
      </c>
      <c r="E1056" s="77" t="s">
        <v>333</v>
      </c>
      <c r="F1056" s="66">
        <v>9</v>
      </c>
      <c r="H1056" t="s">
        <v>469</v>
      </c>
      <c r="I1056" s="83">
        <v>45987</v>
      </c>
    </row>
    <row r="1057" spans="1:9" x14ac:dyDescent="0.25">
      <c r="A1057">
        <v>1059</v>
      </c>
      <c r="C1057" s="77">
        <v>58672370104</v>
      </c>
      <c r="D1057" s="77">
        <v>49856</v>
      </c>
      <c r="E1057" s="77" t="s">
        <v>333</v>
      </c>
      <c r="F1057" s="66">
        <v>61.92</v>
      </c>
      <c r="H1057" t="s">
        <v>469</v>
      </c>
      <c r="I1057" s="83">
        <v>45987</v>
      </c>
    </row>
    <row r="1058" spans="1:9" x14ac:dyDescent="0.25">
      <c r="A1058">
        <v>1060</v>
      </c>
      <c r="C1058" s="77">
        <v>56214316349</v>
      </c>
      <c r="D1058" s="77">
        <v>65742</v>
      </c>
      <c r="E1058" s="77" t="s">
        <v>334</v>
      </c>
      <c r="F1058" s="66">
        <v>481.91</v>
      </c>
      <c r="H1058" t="s">
        <v>469</v>
      </c>
      <c r="I1058" s="83">
        <v>45987</v>
      </c>
    </row>
    <row r="1059" spans="1:9" x14ac:dyDescent="0.25">
      <c r="A1059">
        <v>1061</v>
      </c>
      <c r="C1059" s="77">
        <v>61576842320</v>
      </c>
      <c r="D1059" s="77">
        <v>67851</v>
      </c>
      <c r="E1059" s="77" t="s">
        <v>335</v>
      </c>
      <c r="F1059" s="66">
        <v>210.33</v>
      </c>
      <c r="H1059" t="s">
        <v>469</v>
      </c>
      <c r="I1059" s="83">
        <v>45987</v>
      </c>
    </row>
    <row r="1060" spans="1:9" x14ac:dyDescent="0.25">
      <c r="A1060">
        <v>1062</v>
      </c>
      <c r="C1060" s="77">
        <v>61576842320</v>
      </c>
      <c r="D1060" s="77">
        <v>67851</v>
      </c>
      <c r="E1060" s="77" t="s">
        <v>336</v>
      </c>
      <c r="F1060" s="66">
        <v>161.33000000000001</v>
      </c>
      <c r="H1060" t="s">
        <v>469</v>
      </c>
      <c r="I1060" s="83">
        <v>45987</v>
      </c>
    </row>
    <row r="1061" spans="1:9" x14ac:dyDescent="0.25">
      <c r="A1061">
        <v>1063</v>
      </c>
      <c r="C1061" s="77">
        <v>25466410349</v>
      </c>
      <c r="D1061" s="77">
        <v>30482</v>
      </c>
      <c r="E1061" s="77" t="s">
        <v>337</v>
      </c>
      <c r="F1061" s="66">
        <v>20.45</v>
      </c>
      <c r="H1061" t="s">
        <v>469</v>
      </c>
      <c r="I1061" s="83">
        <v>45987</v>
      </c>
    </row>
    <row r="1062" spans="1:9" x14ac:dyDescent="0.25">
      <c r="A1062">
        <v>1064</v>
      </c>
      <c r="C1062" s="77">
        <v>71679723391</v>
      </c>
      <c r="D1062" s="77">
        <v>47159</v>
      </c>
      <c r="E1062" s="77" t="s">
        <v>338</v>
      </c>
      <c r="F1062" s="66">
        <v>8.4</v>
      </c>
      <c r="H1062" t="s">
        <v>469</v>
      </c>
      <c r="I1062" s="83">
        <v>45987</v>
      </c>
    </row>
    <row r="1063" spans="1:9" x14ac:dyDescent="0.25">
      <c r="A1063">
        <v>1065</v>
      </c>
      <c r="C1063" s="77">
        <v>48722820353</v>
      </c>
      <c r="D1063" s="77">
        <v>25354</v>
      </c>
      <c r="E1063" s="77" t="s">
        <v>339</v>
      </c>
      <c r="F1063" s="66">
        <v>215.93</v>
      </c>
      <c r="H1063" t="s">
        <v>469</v>
      </c>
      <c r="I1063" s="83">
        <v>45987</v>
      </c>
    </row>
    <row r="1064" spans="1:9" x14ac:dyDescent="0.25">
      <c r="A1064">
        <v>1066</v>
      </c>
      <c r="C1064" s="77">
        <v>63112213300</v>
      </c>
      <c r="D1064" s="77">
        <v>51467</v>
      </c>
      <c r="E1064" s="77" t="s">
        <v>340</v>
      </c>
      <c r="F1064" s="66">
        <v>130.04</v>
      </c>
      <c r="H1064" t="s">
        <v>469</v>
      </c>
      <c r="I1064" s="83">
        <v>45987</v>
      </c>
    </row>
    <row r="1065" spans="1:9" x14ac:dyDescent="0.25">
      <c r="A1065">
        <v>1067</v>
      </c>
      <c r="C1065" s="77">
        <v>71679723391</v>
      </c>
      <c r="D1065" s="77">
        <v>47159</v>
      </c>
      <c r="E1065" s="77" t="s">
        <v>341</v>
      </c>
      <c r="F1065" s="66">
        <v>41.85</v>
      </c>
      <c r="H1065" t="s">
        <v>469</v>
      </c>
      <c r="I1065" s="83">
        <v>45987</v>
      </c>
    </row>
    <row r="1066" spans="1:9" x14ac:dyDescent="0.25">
      <c r="A1066">
        <v>1068</v>
      </c>
      <c r="C1066" s="77">
        <v>60431516340</v>
      </c>
      <c r="D1066" s="77">
        <v>67487</v>
      </c>
      <c r="E1066" s="77" t="s">
        <v>342</v>
      </c>
      <c r="F1066" s="66">
        <v>29.4</v>
      </c>
      <c r="H1066" t="s">
        <v>469</v>
      </c>
      <c r="I1066" s="83">
        <v>45987</v>
      </c>
    </row>
    <row r="1067" spans="1:9" x14ac:dyDescent="0.25">
      <c r="A1067">
        <v>1069</v>
      </c>
      <c r="C1067" s="77">
        <v>61530542340</v>
      </c>
      <c r="D1067" s="77">
        <v>69532</v>
      </c>
      <c r="E1067" s="77" t="s">
        <v>343</v>
      </c>
      <c r="F1067" s="66">
        <v>156.13</v>
      </c>
      <c r="H1067" t="s">
        <v>469</v>
      </c>
      <c r="I1067" s="83">
        <v>45987</v>
      </c>
    </row>
    <row r="1068" spans="1:9" x14ac:dyDescent="0.25">
      <c r="A1068">
        <v>1070</v>
      </c>
      <c r="C1068" s="77">
        <v>60203814398</v>
      </c>
      <c r="D1068" s="77">
        <v>70890</v>
      </c>
      <c r="E1068" s="77" t="s">
        <v>344</v>
      </c>
      <c r="F1068" s="66">
        <v>260.55</v>
      </c>
      <c r="H1068" t="s">
        <v>469</v>
      </c>
      <c r="I1068" s="83">
        <v>45987</v>
      </c>
    </row>
    <row r="1069" spans="1:9" x14ac:dyDescent="0.25">
      <c r="A1069">
        <v>1071</v>
      </c>
      <c r="C1069" s="77">
        <v>60203814398</v>
      </c>
      <c r="D1069" s="77">
        <v>70890</v>
      </c>
      <c r="E1069" s="77" t="s">
        <v>345</v>
      </c>
      <c r="F1069" s="66">
        <v>260.55</v>
      </c>
      <c r="H1069" t="s">
        <v>469</v>
      </c>
      <c r="I1069" s="83">
        <v>45987</v>
      </c>
    </row>
    <row r="1070" spans="1:9" x14ac:dyDescent="0.25">
      <c r="A1070">
        <v>1072</v>
      </c>
      <c r="C1070" s="77">
        <v>71288333234</v>
      </c>
      <c r="D1070" s="77">
        <v>69126</v>
      </c>
      <c r="E1070" s="77" t="s">
        <v>346</v>
      </c>
      <c r="F1070" s="66">
        <v>97.25</v>
      </c>
      <c r="H1070" t="s">
        <v>469</v>
      </c>
      <c r="I1070" s="83">
        <v>45987</v>
      </c>
    </row>
    <row r="1071" spans="1:9" x14ac:dyDescent="0.25">
      <c r="A1071">
        <v>1073</v>
      </c>
      <c r="C1071" s="77">
        <v>43625576368</v>
      </c>
      <c r="D1071" s="77">
        <v>50747</v>
      </c>
      <c r="E1071" s="77" t="s">
        <v>347</v>
      </c>
      <c r="F1071" s="66">
        <v>39.36</v>
      </c>
      <c r="H1071" t="s">
        <v>469</v>
      </c>
      <c r="I1071" s="83">
        <v>45987</v>
      </c>
    </row>
    <row r="1072" spans="1:9" x14ac:dyDescent="0.25">
      <c r="A1072">
        <v>1074</v>
      </c>
      <c r="C1072" s="77">
        <v>25746502391</v>
      </c>
      <c r="D1072" s="77">
        <v>67308</v>
      </c>
      <c r="E1072" s="77" t="s">
        <v>347</v>
      </c>
      <c r="F1072" s="66">
        <v>56.6</v>
      </c>
      <c r="H1072" t="s">
        <v>469</v>
      </c>
      <c r="I1072" s="83">
        <v>45987</v>
      </c>
    </row>
    <row r="1073" spans="1:9" x14ac:dyDescent="0.25">
      <c r="A1073">
        <v>1075</v>
      </c>
      <c r="C1073" s="77">
        <v>61530542340</v>
      </c>
      <c r="D1073" s="77">
        <v>69532</v>
      </c>
      <c r="E1073" s="77" t="s">
        <v>347</v>
      </c>
      <c r="F1073" s="66">
        <v>58.8</v>
      </c>
      <c r="H1073" t="s">
        <v>469</v>
      </c>
      <c r="I1073" s="83">
        <v>45987</v>
      </c>
    </row>
    <row r="1074" spans="1:9" x14ac:dyDescent="0.25">
      <c r="A1074">
        <v>1076</v>
      </c>
      <c r="C1074" s="77">
        <v>48724556300</v>
      </c>
      <c r="D1074" s="77">
        <v>31734</v>
      </c>
      <c r="E1074" s="77" t="s">
        <v>348</v>
      </c>
      <c r="F1074" s="66">
        <v>298.2</v>
      </c>
      <c r="H1074" t="s">
        <v>469</v>
      </c>
      <c r="I1074" s="83">
        <v>45987</v>
      </c>
    </row>
    <row r="1075" spans="1:9" x14ac:dyDescent="0.25">
      <c r="A1075">
        <v>1077</v>
      </c>
      <c r="C1075" s="77">
        <v>26878852315</v>
      </c>
      <c r="D1075" s="77">
        <v>42104</v>
      </c>
      <c r="E1075" s="77" t="s">
        <v>349</v>
      </c>
      <c r="F1075" s="66">
        <v>11.22</v>
      </c>
      <c r="H1075" t="s">
        <v>469</v>
      </c>
      <c r="I1075" s="83">
        <v>45987</v>
      </c>
    </row>
    <row r="1076" spans="1:9" x14ac:dyDescent="0.25">
      <c r="A1076">
        <v>1078</v>
      </c>
      <c r="C1076" s="77">
        <v>62379291349</v>
      </c>
      <c r="D1076" s="77">
        <v>68055</v>
      </c>
      <c r="E1076" s="77" t="s">
        <v>349</v>
      </c>
      <c r="F1076" s="66">
        <v>206.98</v>
      </c>
      <c r="H1076" t="s">
        <v>469</v>
      </c>
      <c r="I1076" s="83">
        <v>45987</v>
      </c>
    </row>
    <row r="1077" spans="1:9" x14ac:dyDescent="0.25">
      <c r="A1077">
        <v>1079</v>
      </c>
      <c r="C1077" s="77">
        <v>48724556300</v>
      </c>
      <c r="D1077" s="77">
        <v>31734</v>
      </c>
      <c r="E1077" s="77" t="s">
        <v>349</v>
      </c>
      <c r="F1077" s="66">
        <v>736.91</v>
      </c>
      <c r="H1077" t="s">
        <v>469</v>
      </c>
      <c r="I1077" s="83">
        <v>45987</v>
      </c>
    </row>
    <row r="1078" spans="1:9" x14ac:dyDescent="0.25">
      <c r="A1078">
        <v>1080</v>
      </c>
      <c r="C1078" s="77">
        <v>77089537315</v>
      </c>
      <c r="D1078" s="77">
        <v>38519</v>
      </c>
      <c r="E1078" s="77" t="s">
        <v>349</v>
      </c>
      <c r="F1078" s="66">
        <v>8.4</v>
      </c>
      <c r="H1078" t="s">
        <v>469</v>
      </c>
      <c r="I1078" s="83">
        <v>45987</v>
      </c>
    </row>
    <row r="1079" spans="1:9" x14ac:dyDescent="0.25">
      <c r="A1079">
        <v>1081</v>
      </c>
      <c r="C1079" s="77">
        <v>84933577315</v>
      </c>
      <c r="D1079" s="77">
        <v>53511</v>
      </c>
      <c r="E1079" s="77" t="s">
        <v>350</v>
      </c>
      <c r="F1079" s="66">
        <v>228.76</v>
      </c>
      <c r="H1079" t="s">
        <v>469</v>
      </c>
      <c r="I1079" s="83">
        <v>45987</v>
      </c>
    </row>
    <row r="1080" spans="1:9" x14ac:dyDescent="0.25">
      <c r="A1080">
        <v>1082</v>
      </c>
      <c r="C1080" s="77">
        <v>89979753315</v>
      </c>
      <c r="D1080" s="77">
        <v>64924</v>
      </c>
      <c r="E1080" s="77" t="s">
        <v>350</v>
      </c>
      <c r="F1080" s="66">
        <v>276.66000000000003</v>
      </c>
      <c r="H1080" t="s">
        <v>469</v>
      </c>
      <c r="I1080" s="83">
        <v>45987</v>
      </c>
    </row>
    <row r="1081" spans="1:9" x14ac:dyDescent="0.25">
      <c r="A1081">
        <v>1083</v>
      </c>
      <c r="C1081" s="77">
        <v>34554408353</v>
      </c>
      <c r="D1081" s="77">
        <v>56809</v>
      </c>
      <c r="E1081" s="77" t="s">
        <v>351</v>
      </c>
      <c r="F1081" s="66">
        <v>62.7</v>
      </c>
      <c r="H1081" t="s">
        <v>469</v>
      </c>
      <c r="I1081" s="83">
        <v>45987</v>
      </c>
    </row>
    <row r="1082" spans="1:9" x14ac:dyDescent="0.25">
      <c r="A1082">
        <v>1084</v>
      </c>
      <c r="C1082" s="77">
        <v>89979753315</v>
      </c>
      <c r="D1082" s="77">
        <v>64924</v>
      </c>
      <c r="E1082" s="77" t="s">
        <v>351</v>
      </c>
      <c r="F1082" s="66">
        <v>276.66000000000003</v>
      </c>
      <c r="H1082" t="s">
        <v>469</v>
      </c>
      <c r="I1082" s="83">
        <v>45987</v>
      </c>
    </row>
    <row r="1083" spans="1:9" x14ac:dyDescent="0.25">
      <c r="A1083">
        <v>1085</v>
      </c>
      <c r="C1083" s="77">
        <v>62379291349</v>
      </c>
      <c r="D1083" s="77">
        <v>68055</v>
      </c>
      <c r="E1083" s="77" t="s">
        <v>351</v>
      </c>
      <c r="F1083" s="66">
        <v>206.98</v>
      </c>
      <c r="H1083" t="s">
        <v>469</v>
      </c>
      <c r="I1083" s="83">
        <v>45987</v>
      </c>
    </row>
    <row r="1084" spans="1:9" x14ac:dyDescent="0.25">
      <c r="A1084">
        <v>1086</v>
      </c>
      <c r="C1084" s="77">
        <v>91090768320</v>
      </c>
      <c r="D1084" s="77">
        <v>68060</v>
      </c>
      <c r="E1084" s="77" t="s">
        <v>351</v>
      </c>
      <c r="F1084" s="66">
        <v>198.61</v>
      </c>
      <c r="H1084" t="s">
        <v>469</v>
      </c>
      <c r="I1084" s="83">
        <v>45987</v>
      </c>
    </row>
    <row r="1085" spans="1:9" x14ac:dyDescent="0.25">
      <c r="A1085">
        <v>1087</v>
      </c>
      <c r="C1085" s="77">
        <v>84457880353</v>
      </c>
      <c r="D1085" s="77">
        <v>71405</v>
      </c>
      <c r="E1085" s="77" t="s">
        <v>351</v>
      </c>
      <c r="F1085" s="66">
        <v>36</v>
      </c>
      <c r="H1085" t="s">
        <v>469</v>
      </c>
      <c r="I1085" s="83">
        <v>45987</v>
      </c>
    </row>
    <row r="1086" spans="1:9" x14ac:dyDescent="0.25">
      <c r="A1086">
        <v>1088</v>
      </c>
      <c r="C1086" s="77">
        <v>65056582387</v>
      </c>
      <c r="D1086" s="77">
        <v>26716</v>
      </c>
      <c r="E1086" s="77" t="s">
        <v>352</v>
      </c>
      <c r="F1086" s="66">
        <v>229.62</v>
      </c>
      <c r="H1086" t="s">
        <v>469</v>
      </c>
      <c r="I1086" s="83">
        <v>45987</v>
      </c>
    </row>
    <row r="1087" spans="1:9" x14ac:dyDescent="0.25">
      <c r="A1087">
        <v>1089</v>
      </c>
      <c r="C1087" s="77">
        <v>91090768320</v>
      </c>
      <c r="D1087" s="77">
        <v>68060</v>
      </c>
      <c r="E1087" s="77" t="s">
        <v>352</v>
      </c>
      <c r="F1087" s="66">
        <v>198.61</v>
      </c>
      <c r="H1087" t="s">
        <v>469</v>
      </c>
      <c r="I1087" s="83">
        <v>45987</v>
      </c>
    </row>
    <row r="1088" spans="1:9" x14ac:dyDescent="0.25">
      <c r="A1088">
        <v>1090</v>
      </c>
      <c r="C1088" s="77">
        <v>27629708149</v>
      </c>
      <c r="D1088" s="77">
        <v>67132</v>
      </c>
      <c r="E1088" s="77" t="s">
        <v>352</v>
      </c>
      <c r="F1088" s="66">
        <v>25.2</v>
      </c>
      <c r="H1088" t="s">
        <v>469</v>
      </c>
      <c r="I1088" s="83">
        <v>45987</v>
      </c>
    </row>
    <row r="1089" spans="1:9" x14ac:dyDescent="0.25">
      <c r="A1089">
        <v>1091</v>
      </c>
      <c r="C1089" s="77">
        <v>61003877354</v>
      </c>
      <c r="D1089" s="77">
        <v>67878</v>
      </c>
      <c r="E1089" s="77" t="s">
        <v>352</v>
      </c>
      <c r="F1089" s="66">
        <v>25.2</v>
      </c>
      <c r="H1089" t="s">
        <v>469</v>
      </c>
      <c r="I1089" s="83">
        <v>45987</v>
      </c>
    </row>
    <row r="1090" spans="1:9" x14ac:dyDescent="0.25">
      <c r="A1090">
        <v>1092</v>
      </c>
      <c r="C1090" s="77">
        <v>65056582387</v>
      </c>
      <c r="D1090" s="77">
        <v>26716</v>
      </c>
      <c r="E1090" s="77" t="s">
        <v>353</v>
      </c>
      <c r="F1090" s="66">
        <v>265.20999999999998</v>
      </c>
      <c r="H1090" t="s">
        <v>469</v>
      </c>
      <c r="I1090" s="83">
        <v>45987</v>
      </c>
    </row>
    <row r="1091" spans="1:9" x14ac:dyDescent="0.25">
      <c r="A1091">
        <v>1093</v>
      </c>
      <c r="C1091" s="77">
        <v>61565995333</v>
      </c>
      <c r="D1091" s="77">
        <v>72061</v>
      </c>
      <c r="E1091" s="77" t="s">
        <v>353</v>
      </c>
      <c r="F1091" s="66">
        <v>251.83</v>
      </c>
      <c r="H1091" t="s">
        <v>118</v>
      </c>
      <c r="I1091" s="32" t="s">
        <v>475</v>
      </c>
    </row>
    <row r="1092" spans="1:9" x14ac:dyDescent="0.25">
      <c r="A1092">
        <v>1094</v>
      </c>
      <c r="C1092" s="77">
        <v>36380253300</v>
      </c>
      <c r="D1092" s="77">
        <v>27582</v>
      </c>
      <c r="E1092" s="77" t="s">
        <v>353</v>
      </c>
      <c r="F1092" s="66">
        <v>9.08</v>
      </c>
      <c r="H1092" t="s">
        <v>469</v>
      </c>
      <c r="I1092" s="83">
        <v>45987</v>
      </c>
    </row>
    <row r="1093" spans="1:9" x14ac:dyDescent="0.25">
      <c r="A1093">
        <v>1095</v>
      </c>
      <c r="C1093" s="77">
        <v>67047700382</v>
      </c>
      <c r="D1093" s="77">
        <v>69443</v>
      </c>
      <c r="E1093" s="77" t="s">
        <v>354</v>
      </c>
      <c r="F1093" s="66">
        <v>433.29</v>
      </c>
      <c r="H1093" t="s">
        <v>215</v>
      </c>
      <c r="I1093" s="83">
        <v>45987</v>
      </c>
    </row>
    <row r="1094" spans="1:9" x14ac:dyDescent="0.25">
      <c r="A1094">
        <v>1096</v>
      </c>
      <c r="C1094" s="77">
        <v>36380253300</v>
      </c>
      <c r="D1094" s="77">
        <v>27582</v>
      </c>
      <c r="E1094" s="77" t="s">
        <v>355</v>
      </c>
      <c r="F1094" s="66">
        <v>7.3</v>
      </c>
      <c r="H1094" t="s">
        <v>469</v>
      </c>
      <c r="I1094" s="83">
        <v>45987</v>
      </c>
    </row>
    <row r="1095" spans="1:9" x14ac:dyDescent="0.25">
      <c r="A1095">
        <v>1097</v>
      </c>
      <c r="C1095" s="77">
        <v>70402361334</v>
      </c>
      <c r="D1095" s="77">
        <v>37323</v>
      </c>
      <c r="E1095" s="77" t="s">
        <v>356</v>
      </c>
      <c r="F1095" s="66">
        <v>165.2</v>
      </c>
      <c r="H1095" t="s">
        <v>469</v>
      </c>
      <c r="I1095" s="83">
        <v>45987</v>
      </c>
    </row>
    <row r="1096" spans="1:9" x14ac:dyDescent="0.25">
      <c r="A1096">
        <v>1098</v>
      </c>
      <c r="C1096" s="77">
        <v>70402361334</v>
      </c>
      <c r="D1096" s="77">
        <v>37324</v>
      </c>
      <c r="E1096" s="77" t="s">
        <v>356</v>
      </c>
      <c r="F1096" s="66">
        <v>165.2</v>
      </c>
      <c r="H1096" t="s">
        <v>469</v>
      </c>
      <c r="I1096" s="83">
        <v>45987</v>
      </c>
    </row>
    <row r="1097" spans="1:9" x14ac:dyDescent="0.25">
      <c r="A1097">
        <v>1099</v>
      </c>
      <c r="C1097" s="77">
        <v>46715940304</v>
      </c>
      <c r="D1097" s="77">
        <v>66716</v>
      </c>
      <c r="E1097" s="77" t="s">
        <v>356</v>
      </c>
      <c r="F1097" s="66">
        <v>978.39</v>
      </c>
      <c r="H1097" t="s">
        <v>215</v>
      </c>
      <c r="I1097" s="83">
        <v>45987</v>
      </c>
    </row>
    <row r="1098" spans="1:9" x14ac:dyDescent="0.25">
      <c r="A1098">
        <v>1100</v>
      </c>
      <c r="C1098" s="77">
        <v>83220445349</v>
      </c>
      <c r="D1098" s="77">
        <v>71729</v>
      </c>
      <c r="E1098" s="77" t="s">
        <v>356</v>
      </c>
      <c r="F1098" s="66">
        <v>752.48</v>
      </c>
      <c r="H1098" t="s">
        <v>118</v>
      </c>
      <c r="I1098" s="32" t="s">
        <v>475</v>
      </c>
    </row>
    <row r="1099" spans="1:9" x14ac:dyDescent="0.25">
      <c r="A1099">
        <v>1101</v>
      </c>
      <c r="C1099" s="77">
        <v>93828977120</v>
      </c>
      <c r="D1099" s="77">
        <v>69747</v>
      </c>
      <c r="E1099" s="77" t="s">
        <v>356</v>
      </c>
      <c r="F1099" s="66">
        <v>16.8</v>
      </c>
      <c r="H1099" t="s">
        <v>469</v>
      </c>
      <c r="I1099" s="83">
        <v>45987</v>
      </c>
    </row>
    <row r="1100" spans="1:9" x14ac:dyDescent="0.25">
      <c r="A1100">
        <v>1102</v>
      </c>
      <c r="C1100" s="77">
        <v>70402361334</v>
      </c>
      <c r="D1100" s="77">
        <v>37323</v>
      </c>
      <c r="E1100" s="77" t="s">
        <v>357</v>
      </c>
      <c r="F1100" s="66">
        <v>165.2</v>
      </c>
      <c r="H1100" t="s">
        <v>469</v>
      </c>
      <c r="I1100" s="83">
        <v>45987</v>
      </c>
    </row>
    <row r="1101" spans="1:9" x14ac:dyDescent="0.25">
      <c r="A1101">
        <v>1103</v>
      </c>
      <c r="C1101" s="77">
        <v>70402361334</v>
      </c>
      <c r="D1101" s="77">
        <v>37324</v>
      </c>
      <c r="E1101" s="77" t="s">
        <v>357</v>
      </c>
      <c r="F1101" s="66">
        <v>174.2</v>
      </c>
      <c r="H1101" t="s">
        <v>469</v>
      </c>
      <c r="I1101" s="83">
        <v>45987</v>
      </c>
    </row>
    <row r="1102" spans="1:9" x14ac:dyDescent="0.25">
      <c r="A1102">
        <v>1104</v>
      </c>
      <c r="C1102" s="77">
        <v>46695958300</v>
      </c>
      <c r="D1102" s="77">
        <v>40742</v>
      </c>
      <c r="E1102" s="77" t="s">
        <v>357</v>
      </c>
      <c r="F1102" s="66">
        <v>384.72</v>
      </c>
      <c r="H1102" t="s">
        <v>469</v>
      </c>
      <c r="I1102" s="83">
        <v>45987</v>
      </c>
    </row>
    <row r="1103" spans="1:9" x14ac:dyDescent="0.25">
      <c r="A1103">
        <v>1105</v>
      </c>
      <c r="C1103" s="77">
        <v>46715940304</v>
      </c>
      <c r="D1103" s="77">
        <v>66716</v>
      </c>
      <c r="E1103" s="77" t="s">
        <v>357</v>
      </c>
      <c r="F1103" s="66">
        <v>978.39</v>
      </c>
      <c r="H1103" t="s">
        <v>215</v>
      </c>
      <c r="I1103" s="83">
        <v>45987</v>
      </c>
    </row>
    <row r="1104" spans="1:9" x14ac:dyDescent="0.25">
      <c r="A1104">
        <v>1106</v>
      </c>
      <c r="C1104" s="77">
        <v>83220445349</v>
      </c>
      <c r="D1104" s="77">
        <v>71729</v>
      </c>
      <c r="E1104" s="77" t="s">
        <v>357</v>
      </c>
      <c r="F1104" s="66">
        <v>212.7</v>
      </c>
      <c r="H1104" t="s">
        <v>118</v>
      </c>
      <c r="I1104" s="32" t="s">
        <v>475</v>
      </c>
    </row>
    <row r="1105" spans="1:9" x14ac:dyDescent="0.25">
      <c r="A1105">
        <v>1107</v>
      </c>
      <c r="C1105" s="77">
        <v>70402361334</v>
      </c>
      <c r="D1105" s="77">
        <v>37324</v>
      </c>
      <c r="E1105" s="77" t="s">
        <v>358</v>
      </c>
      <c r="F1105" s="66">
        <v>7.65</v>
      </c>
      <c r="H1105" t="s">
        <v>469</v>
      </c>
      <c r="I1105" s="83">
        <v>45987</v>
      </c>
    </row>
    <row r="1106" spans="1:9" x14ac:dyDescent="0.25">
      <c r="A1106">
        <v>1108</v>
      </c>
      <c r="C1106" s="77">
        <v>46695958300</v>
      </c>
      <c r="D1106" s="77">
        <v>40742</v>
      </c>
      <c r="E1106" s="77" t="s">
        <v>358</v>
      </c>
      <c r="F1106" s="66">
        <v>378.46</v>
      </c>
      <c r="H1106" t="s">
        <v>469</v>
      </c>
      <c r="I1106" s="83">
        <v>45987</v>
      </c>
    </row>
    <row r="1107" spans="1:9" x14ac:dyDescent="0.25">
      <c r="A1107">
        <v>1109</v>
      </c>
      <c r="C1107" s="77">
        <v>46697365315</v>
      </c>
      <c r="D1107" s="77">
        <v>44923</v>
      </c>
      <c r="E1107" s="77" t="s">
        <v>358</v>
      </c>
      <c r="F1107" s="66">
        <v>19.170000000000002</v>
      </c>
      <c r="H1107" t="s">
        <v>469</v>
      </c>
      <c r="I1107" s="83">
        <v>45987</v>
      </c>
    </row>
    <row r="1108" spans="1:9" x14ac:dyDescent="0.25">
      <c r="A1108">
        <v>1110</v>
      </c>
      <c r="C1108" s="77">
        <v>73390348387</v>
      </c>
      <c r="D1108" s="77">
        <v>70378</v>
      </c>
      <c r="E1108" s="77" t="s">
        <v>358</v>
      </c>
      <c r="F1108" s="66">
        <v>203.12</v>
      </c>
      <c r="H1108" t="s">
        <v>469</v>
      </c>
      <c r="I1108" s="83">
        <v>45987</v>
      </c>
    </row>
    <row r="1109" spans="1:9" x14ac:dyDescent="0.25">
      <c r="A1109">
        <v>1111</v>
      </c>
      <c r="C1109" s="77">
        <v>83220445349</v>
      </c>
      <c r="D1109" s="77">
        <v>71729</v>
      </c>
      <c r="E1109" s="77" t="s">
        <v>358</v>
      </c>
      <c r="F1109" s="66">
        <v>53.93</v>
      </c>
      <c r="H1109" t="s">
        <v>118</v>
      </c>
      <c r="I1109" s="32" t="s">
        <v>475</v>
      </c>
    </row>
    <row r="1110" spans="1:9" x14ac:dyDescent="0.25">
      <c r="A1110">
        <v>1112</v>
      </c>
      <c r="C1110" s="77">
        <v>46697365315</v>
      </c>
      <c r="D1110" s="77">
        <v>44923</v>
      </c>
      <c r="E1110" s="77" t="s">
        <v>359</v>
      </c>
      <c r="F1110" s="66">
        <v>18.579999999999998</v>
      </c>
      <c r="H1110" t="s">
        <v>469</v>
      </c>
      <c r="I1110" s="83">
        <v>45987</v>
      </c>
    </row>
    <row r="1111" spans="1:9" x14ac:dyDescent="0.25">
      <c r="A1111">
        <v>1113</v>
      </c>
      <c r="C1111" s="77">
        <v>88970418334</v>
      </c>
      <c r="D1111" s="77">
        <v>72056</v>
      </c>
      <c r="E1111" s="77" t="s">
        <v>360</v>
      </c>
      <c r="F1111" s="66">
        <v>251.83</v>
      </c>
      <c r="H1111" t="s">
        <v>215</v>
      </c>
      <c r="I1111" s="83">
        <v>45987</v>
      </c>
    </row>
    <row r="1112" spans="1:9" x14ac:dyDescent="0.25">
      <c r="A1112">
        <v>1114</v>
      </c>
      <c r="C1112" s="77">
        <v>88970418334</v>
      </c>
      <c r="D1112" s="77">
        <v>72056</v>
      </c>
      <c r="E1112" s="77" t="s">
        <v>361</v>
      </c>
      <c r="F1112" s="66">
        <v>251.83</v>
      </c>
      <c r="H1112" t="s">
        <v>215</v>
      </c>
      <c r="I1112" s="83">
        <v>45987</v>
      </c>
    </row>
    <row r="1113" spans="1:9" x14ac:dyDescent="0.25">
      <c r="A1113">
        <v>1115</v>
      </c>
      <c r="C1113" s="77">
        <v>46708286300</v>
      </c>
      <c r="D1113" s="77">
        <v>34021</v>
      </c>
      <c r="E1113" s="77" t="s">
        <v>362</v>
      </c>
      <c r="F1113" s="66">
        <v>301.37</v>
      </c>
      <c r="H1113" t="s">
        <v>469</v>
      </c>
      <c r="I1113" s="83">
        <v>45987</v>
      </c>
    </row>
    <row r="1114" spans="1:9" x14ac:dyDescent="0.25">
      <c r="A1114">
        <v>1116</v>
      </c>
      <c r="C1114" s="77">
        <v>98697609372</v>
      </c>
      <c r="D1114" s="77">
        <v>69556</v>
      </c>
      <c r="E1114" s="77" t="s">
        <v>362</v>
      </c>
      <c r="F1114" s="66">
        <v>783.22</v>
      </c>
      <c r="H1114" t="s">
        <v>469</v>
      </c>
      <c r="I1114" s="83">
        <v>45987</v>
      </c>
    </row>
    <row r="1115" spans="1:9" x14ac:dyDescent="0.25">
      <c r="A1115">
        <v>1117</v>
      </c>
      <c r="C1115" s="77" t="s">
        <v>131</v>
      </c>
      <c r="D1115" s="77">
        <v>70376</v>
      </c>
      <c r="E1115" s="77" t="s">
        <v>362</v>
      </c>
      <c r="F1115" s="66">
        <v>601.11</v>
      </c>
      <c r="H1115" t="s">
        <v>118</v>
      </c>
      <c r="I1115" s="32" t="s">
        <v>475</v>
      </c>
    </row>
    <row r="1116" spans="1:9" x14ac:dyDescent="0.25">
      <c r="A1116">
        <v>1118</v>
      </c>
      <c r="C1116" s="77" t="s">
        <v>130</v>
      </c>
      <c r="D1116" s="77">
        <v>71398</v>
      </c>
      <c r="E1116" s="77" t="s">
        <v>362</v>
      </c>
      <c r="F1116" s="66">
        <v>438.61</v>
      </c>
      <c r="H1116" t="s">
        <v>469</v>
      </c>
      <c r="I1116" s="83">
        <v>45987</v>
      </c>
    </row>
    <row r="1117" spans="1:9" x14ac:dyDescent="0.25">
      <c r="A1117">
        <v>1119</v>
      </c>
      <c r="C1117" s="77">
        <v>46708286300</v>
      </c>
      <c r="D1117" s="77">
        <v>34021</v>
      </c>
      <c r="E1117" s="77" t="s">
        <v>363</v>
      </c>
      <c r="F1117" s="66">
        <v>301.37</v>
      </c>
      <c r="H1117" t="s">
        <v>469</v>
      </c>
      <c r="I1117" s="83">
        <v>45987</v>
      </c>
    </row>
    <row r="1118" spans="1:9" x14ac:dyDescent="0.25">
      <c r="A1118">
        <v>1120</v>
      </c>
      <c r="C1118" s="77">
        <v>26916860359</v>
      </c>
      <c r="D1118" s="77">
        <v>67879</v>
      </c>
      <c r="E1118" s="77" t="s">
        <v>363</v>
      </c>
      <c r="F1118" s="66">
        <v>408.3</v>
      </c>
      <c r="H1118" t="s">
        <v>469</v>
      </c>
      <c r="I1118" s="83">
        <v>45987</v>
      </c>
    </row>
    <row r="1119" spans="1:9" x14ac:dyDescent="0.25">
      <c r="A1119">
        <v>1121</v>
      </c>
      <c r="C1119" s="77">
        <v>98093096191</v>
      </c>
      <c r="D1119" s="77">
        <v>70686</v>
      </c>
      <c r="E1119" s="77" t="s">
        <v>363</v>
      </c>
      <c r="F1119" s="66">
        <v>203.12</v>
      </c>
      <c r="H1119" t="s">
        <v>469</v>
      </c>
      <c r="I1119" s="83">
        <v>45987</v>
      </c>
    </row>
    <row r="1120" spans="1:9" x14ac:dyDescent="0.25">
      <c r="A1120">
        <v>1122</v>
      </c>
      <c r="C1120" s="77">
        <v>98093096191</v>
      </c>
      <c r="D1120" s="77">
        <v>70702</v>
      </c>
      <c r="E1120" s="77" t="s">
        <v>363</v>
      </c>
      <c r="F1120" s="66">
        <v>326.95999999999998</v>
      </c>
      <c r="H1120" t="s">
        <v>469</v>
      </c>
      <c r="I1120" s="83">
        <v>45987</v>
      </c>
    </row>
    <row r="1121" spans="1:9" x14ac:dyDescent="0.25">
      <c r="A1121">
        <v>1123</v>
      </c>
      <c r="C1121" s="77">
        <v>75082055372</v>
      </c>
      <c r="D1121" s="77">
        <v>10887</v>
      </c>
      <c r="E1121" s="77" t="s">
        <v>364</v>
      </c>
      <c r="F1121" s="66">
        <v>269.39999999999998</v>
      </c>
      <c r="H1121" t="s">
        <v>469</v>
      </c>
      <c r="I1121" s="83">
        <v>45987</v>
      </c>
    </row>
    <row r="1122" spans="1:9" x14ac:dyDescent="0.25">
      <c r="A1122">
        <v>1124</v>
      </c>
      <c r="C1122" s="77">
        <v>38609223515</v>
      </c>
      <c r="D1122" s="77">
        <v>25625</v>
      </c>
      <c r="E1122" s="77" t="s">
        <v>364</v>
      </c>
      <c r="F1122" s="66">
        <v>264.58999999999997</v>
      </c>
      <c r="H1122" t="s">
        <v>469</v>
      </c>
      <c r="I1122" s="83">
        <v>45987</v>
      </c>
    </row>
    <row r="1123" spans="1:9" x14ac:dyDescent="0.25">
      <c r="A1123">
        <v>1125</v>
      </c>
      <c r="C1123" s="77">
        <v>75082055372</v>
      </c>
      <c r="D1123" s="77">
        <v>39953</v>
      </c>
      <c r="E1123" s="77" t="s">
        <v>364</v>
      </c>
      <c r="F1123" s="66">
        <v>280.27</v>
      </c>
      <c r="H1123" t="s">
        <v>469</v>
      </c>
      <c r="I1123" s="83">
        <v>45987</v>
      </c>
    </row>
    <row r="1124" spans="1:9" x14ac:dyDescent="0.25">
      <c r="A1124">
        <v>1126</v>
      </c>
      <c r="C1124" s="77">
        <v>41836766149</v>
      </c>
      <c r="D1124" s="77">
        <v>55428</v>
      </c>
      <c r="E1124" s="77" t="s">
        <v>364</v>
      </c>
      <c r="F1124" s="66">
        <v>250.79</v>
      </c>
      <c r="H1124" t="s">
        <v>469</v>
      </c>
      <c r="I1124" s="83">
        <v>45987</v>
      </c>
    </row>
    <row r="1125" spans="1:9" x14ac:dyDescent="0.25">
      <c r="A1125">
        <v>1127</v>
      </c>
      <c r="C1125" s="77">
        <v>62871943320</v>
      </c>
      <c r="D1125" s="77">
        <v>65524</v>
      </c>
      <c r="E1125" s="77" t="s">
        <v>364</v>
      </c>
      <c r="F1125" s="66">
        <v>487.62</v>
      </c>
      <c r="H1125" t="s">
        <v>469</v>
      </c>
      <c r="I1125" s="83">
        <v>45987</v>
      </c>
    </row>
    <row r="1126" spans="1:9" x14ac:dyDescent="0.25">
      <c r="A1126">
        <v>1128</v>
      </c>
      <c r="C1126" s="77">
        <v>26916860359</v>
      </c>
      <c r="D1126" s="77">
        <v>67879</v>
      </c>
      <c r="E1126" s="77" t="s">
        <v>364</v>
      </c>
      <c r="F1126" s="66">
        <v>336.06</v>
      </c>
      <c r="H1126" t="s">
        <v>469</v>
      </c>
      <c r="I1126" s="83">
        <v>45987</v>
      </c>
    </row>
    <row r="1127" spans="1:9" x14ac:dyDescent="0.25">
      <c r="A1127">
        <v>1129</v>
      </c>
      <c r="C1127" s="77">
        <v>98697609372</v>
      </c>
      <c r="D1127" s="77">
        <v>69556</v>
      </c>
      <c r="E1127" s="77" t="s">
        <v>364</v>
      </c>
      <c r="F1127" s="66">
        <v>36</v>
      </c>
      <c r="H1127" t="s">
        <v>469</v>
      </c>
      <c r="I1127" s="83">
        <v>45987</v>
      </c>
    </row>
    <row r="1128" spans="1:9" x14ac:dyDescent="0.25">
      <c r="A1128">
        <v>1130</v>
      </c>
      <c r="C1128" s="77" t="s">
        <v>130</v>
      </c>
      <c r="D1128" s="77">
        <v>71398</v>
      </c>
      <c r="E1128" s="77" t="s">
        <v>364</v>
      </c>
      <c r="F1128" s="66">
        <v>72</v>
      </c>
      <c r="H1128" t="s">
        <v>469</v>
      </c>
      <c r="I1128" s="83">
        <v>45987</v>
      </c>
    </row>
    <row r="1129" spans="1:9" x14ac:dyDescent="0.25">
      <c r="A1129">
        <v>1131</v>
      </c>
      <c r="C1129" s="77">
        <v>99857839304</v>
      </c>
      <c r="D1129" s="77">
        <v>68197</v>
      </c>
      <c r="E1129" s="77" t="s">
        <v>365</v>
      </c>
      <c r="F1129" s="66">
        <v>240.53</v>
      </c>
      <c r="H1129" t="s">
        <v>215</v>
      </c>
      <c r="I1129" s="83">
        <v>45987</v>
      </c>
    </row>
    <row r="1130" spans="1:9" x14ac:dyDescent="0.25">
      <c r="A1130">
        <v>1132</v>
      </c>
      <c r="C1130" s="77">
        <v>61230631380</v>
      </c>
      <c r="D1130" s="77">
        <v>72246</v>
      </c>
      <c r="E1130" s="77" t="s">
        <v>365</v>
      </c>
      <c r="F1130" s="66">
        <v>251.83</v>
      </c>
      <c r="H1130" t="s">
        <v>469</v>
      </c>
      <c r="I1130" s="83">
        <v>45987</v>
      </c>
    </row>
    <row r="1131" spans="1:9" x14ac:dyDescent="0.25">
      <c r="A1131">
        <v>1133</v>
      </c>
      <c r="C1131" s="77">
        <v>38609223515</v>
      </c>
      <c r="D1131" s="77">
        <v>25625</v>
      </c>
      <c r="E1131" s="77" t="s">
        <v>366</v>
      </c>
      <c r="F1131" s="66">
        <v>264.58999999999997</v>
      </c>
      <c r="H1131" t="s">
        <v>469</v>
      </c>
      <c r="I1131" s="83">
        <v>45987</v>
      </c>
    </row>
    <row r="1132" spans="1:9" x14ac:dyDescent="0.25">
      <c r="A1132">
        <v>1134</v>
      </c>
      <c r="C1132" s="77">
        <v>26916860359</v>
      </c>
      <c r="D1132" s="77">
        <v>67879</v>
      </c>
      <c r="E1132" s="77" t="s">
        <v>366</v>
      </c>
      <c r="F1132" s="66">
        <v>53.78</v>
      </c>
      <c r="H1132" t="s">
        <v>469</v>
      </c>
      <c r="I1132" s="83">
        <v>45987</v>
      </c>
    </row>
    <row r="1133" spans="1:9" x14ac:dyDescent="0.25">
      <c r="A1133">
        <v>1135</v>
      </c>
      <c r="C1133" s="77">
        <v>83595139372</v>
      </c>
      <c r="D1133" s="77">
        <v>43305</v>
      </c>
      <c r="E1133" s="77" t="s">
        <v>366</v>
      </c>
      <c r="F1133" s="66">
        <v>34.659999999999997</v>
      </c>
      <c r="H1133" t="s">
        <v>469</v>
      </c>
      <c r="I1133" s="83">
        <v>45987</v>
      </c>
    </row>
    <row r="1134" spans="1:9" x14ac:dyDescent="0.25">
      <c r="A1134">
        <v>1136</v>
      </c>
      <c r="C1134" s="77">
        <v>99857839304</v>
      </c>
      <c r="D1134" s="77">
        <v>68197</v>
      </c>
      <c r="E1134" s="77" t="s">
        <v>367</v>
      </c>
      <c r="F1134" s="66">
        <v>222.68</v>
      </c>
      <c r="H1134" t="s">
        <v>215</v>
      </c>
      <c r="I1134" s="83">
        <v>45987</v>
      </c>
    </row>
    <row r="1135" spans="1:9" x14ac:dyDescent="0.25">
      <c r="A1135">
        <v>1137</v>
      </c>
      <c r="C1135" s="77">
        <v>61230631380</v>
      </c>
      <c r="D1135" s="77">
        <v>72246</v>
      </c>
      <c r="E1135" s="77" t="s">
        <v>367</v>
      </c>
      <c r="F1135" s="66">
        <v>251.83</v>
      </c>
      <c r="H1135" t="s">
        <v>469</v>
      </c>
      <c r="I1135" s="83">
        <v>45987</v>
      </c>
    </row>
    <row r="1136" spans="1:9" x14ac:dyDescent="0.25">
      <c r="A1136">
        <v>1138</v>
      </c>
      <c r="C1136" s="77">
        <v>92546803387</v>
      </c>
      <c r="D1136" s="77">
        <v>42294</v>
      </c>
      <c r="E1136" s="77" t="s">
        <v>368</v>
      </c>
      <c r="F1136" s="66">
        <v>197.3</v>
      </c>
      <c r="H1136" t="s">
        <v>469</v>
      </c>
      <c r="I1136" s="83">
        <v>45987</v>
      </c>
    </row>
    <row r="1137" spans="1:9" x14ac:dyDescent="0.25">
      <c r="A1137">
        <v>1139</v>
      </c>
      <c r="C1137" s="77">
        <v>61273319354</v>
      </c>
      <c r="D1137" s="77">
        <v>71394</v>
      </c>
      <c r="E1137" s="77" t="s">
        <v>368</v>
      </c>
      <c r="F1137" s="66">
        <v>210.65</v>
      </c>
      <c r="H1137" t="s">
        <v>469</v>
      </c>
      <c r="I1137" s="83">
        <v>45987</v>
      </c>
    </row>
    <row r="1138" spans="1:9" x14ac:dyDescent="0.25">
      <c r="A1138">
        <v>1140</v>
      </c>
      <c r="C1138" s="77">
        <v>61991853319</v>
      </c>
      <c r="D1138" s="77">
        <v>70902</v>
      </c>
      <c r="E1138" s="77" t="s">
        <v>369</v>
      </c>
      <c r="F1138" s="66">
        <v>215.38</v>
      </c>
      <c r="H1138" t="s">
        <v>215</v>
      </c>
      <c r="I1138" s="83">
        <v>45987</v>
      </c>
    </row>
    <row r="1139" spans="1:9" x14ac:dyDescent="0.25">
      <c r="A1139">
        <v>1141</v>
      </c>
      <c r="C1139" s="77">
        <v>92546803387</v>
      </c>
      <c r="D1139" s="77">
        <v>42294</v>
      </c>
      <c r="E1139" s="77" t="s">
        <v>370</v>
      </c>
      <c r="F1139" s="66">
        <v>197.3</v>
      </c>
      <c r="H1139" t="s">
        <v>469</v>
      </c>
      <c r="I1139" s="83">
        <v>45987</v>
      </c>
    </row>
    <row r="1140" spans="1:9" x14ac:dyDescent="0.25">
      <c r="A1140">
        <v>1142</v>
      </c>
      <c r="C1140" s="77">
        <v>61991853319</v>
      </c>
      <c r="D1140" s="77">
        <v>70902</v>
      </c>
      <c r="E1140" s="77" t="s">
        <v>371</v>
      </c>
      <c r="F1140" s="66">
        <v>244.57</v>
      </c>
      <c r="H1140" t="s">
        <v>215</v>
      </c>
      <c r="I1140" s="83">
        <v>45987</v>
      </c>
    </row>
    <row r="1141" spans="1:9" x14ac:dyDescent="0.25">
      <c r="A1141">
        <v>1143</v>
      </c>
      <c r="C1141" s="77">
        <v>61991853319</v>
      </c>
      <c r="D1141" s="77">
        <v>70902</v>
      </c>
      <c r="E1141" s="77" t="s">
        <v>372</v>
      </c>
      <c r="F1141" s="66">
        <v>80.8</v>
      </c>
      <c r="H1141" t="s">
        <v>215</v>
      </c>
      <c r="I1141" s="83">
        <v>45987</v>
      </c>
    </row>
    <row r="1142" spans="1:9" x14ac:dyDescent="0.25">
      <c r="A1142">
        <v>1144</v>
      </c>
      <c r="C1142" s="77">
        <v>23808691387</v>
      </c>
      <c r="D1142" s="77">
        <v>69159</v>
      </c>
      <c r="E1142" s="77" t="s">
        <v>326</v>
      </c>
      <c r="F1142" s="66">
        <v>1621.94</v>
      </c>
      <c r="H1142" t="s">
        <v>469</v>
      </c>
      <c r="I1142" s="83">
        <v>45987</v>
      </c>
    </row>
    <row r="1143" spans="1:9" x14ac:dyDescent="0.25">
      <c r="A1143">
        <v>1145</v>
      </c>
      <c r="C1143" s="77">
        <v>23808691387</v>
      </c>
      <c r="D1143" s="77">
        <v>69159</v>
      </c>
      <c r="E1143" s="77" t="s">
        <v>326</v>
      </c>
      <c r="F1143" s="66">
        <v>1621.94</v>
      </c>
      <c r="H1143" t="s">
        <v>469</v>
      </c>
      <c r="I1143" s="83">
        <v>45987</v>
      </c>
    </row>
    <row r="1144" spans="1:9" x14ac:dyDescent="0.25">
      <c r="A1144">
        <v>1146</v>
      </c>
      <c r="C1144" s="77">
        <v>74320807391</v>
      </c>
      <c r="D1144" s="77">
        <v>1497</v>
      </c>
      <c r="E1144" s="77" t="s">
        <v>367</v>
      </c>
      <c r="F1144" s="77" t="s">
        <v>381</v>
      </c>
      <c r="H1144" t="s">
        <v>389</v>
      </c>
      <c r="I1144" s="83">
        <v>45987</v>
      </c>
    </row>
    <row r="1145" spans="1:9" x14ac:dyDescent="0.25">
      <c r="A1145">
        <v>1147</v>
      </c>
      <c r="C1145" s="77" t="s">
        <v>382</v>
      </c>
      <c r="D1145" s="77">
        <v>701</v>
      </c>
      <c r="E1145" s="77" t="s">
        <v>383</v>
      </c>
      <c r="F1145" s="77" t="s">
        <v>384</v>
      </c>
      <c r="H1145" t="s">
        <v>389</v>
      </c>
      <c r="I1145" s="83">
        <v>45987</v>
      </c>
    </row>
    <row r="1146" spans="1:9" x14ac:dyDescent="0.25">
      <c r="A1146">
        <v>1148</v>
      </c>
      <c r="C1146" s="77" t="s">
        <v>382</v>
      </c>
      <c r="D1146" s="77">
        <v>701</v>
      </c>
      <c r="E1146" s="77" t="s">
        <v>385</v>
      </c>
      <c r="F1146" s="77" t="s">
        <v>386</v>
      </c>
      <c r="H1146" t="s">
        <v>389</v>
      </c>
      <c r="I1146" s="83">
        <v>45987</v>
      </c>
    </row>
    <row r="1147" spans="1:9" x14ac:dyDescent="0.25">
      <c r="A1147">
        <v>1149</v>
      </c>
      <c r="C1147" s="77" t="s">
        <v>382</v>
      </c>
      <c r="D1147" s="77">
        <v>701</v>
      </c>
      <c r="E1147" s="77" t="s">
        <v>387</v>
      </c>
      <c r="F1147" s="77" t="s">
        <v>388</v>
      </c>
      <c r="H1147" t="s">
        <v>389</v>
      </c>
      <c r="I1147" s="83">
        <v>45987</v>
      </c>
    </row>
    <row r="1148" spans="1:9" x14ac:dyDescent="0.25">
      <c r="A1148">
        <v>1150</v>
      </c>
      <c r="C1148" s="77" t="s">
        <v>144</v>
      </c>
      <c r="D1148" s="77">
        <v>58486</v>
      </c>
      <c r="E1148" s="77" t="s">
        <v>326</v>
      </c>
      <c r="F1148" s="77" t="s">
        <v>390</v>
      </c>
      <c r="H1148" t="s">
        <v>389</v>
      </c>
      <c r="I1148" s="83">
        <v>45989</v>
      </c>
    </row>
    <row r="1149" spans="1:9" x14ac:dyDescent="0.25">
      <c r="A1149">
        <v>1151</v>
      </c>
      <c r="C1149" s="77" t="s">
        <v>144</v>
      </c>
      <c r="D1149" s="77">
        <v>58486</v>
      </c>
      <c r="E1149" s="77" t="s">
        <v>328</v>
      </c>
      <c r="F1149" s="77" t="s">
        <v>391</v>
      </c>
      <c r="H1149" t="s">
        <v>389</v>
      </c>
      <c r="I1149" s="83">
        <v>45989</v>
      </c>
    </row>
    <row r="1150" spans="1:9" x14ac:dyDescent="0.25">
      <c r="A1150">
        <v>1152</v>
      </c>
      <c r="C1150" s="77" t="s">
        <v>144</v>
      </c>
      <c r="D1150" s="77">
        <v>58486</v>
      </c>
      <c r="E1150" s="77" t="s">
        <v>330</v>
      </c>
      <c r="F1150" s="77" t="s">
        <v>391</v>
      </c>
      <c r="H1150" t="s">
        <v>389</v>
      </c>
      <c r="I1150" s="83">
        <v>45989</v>
      </c>
    </row>
    <row r="1151" spans="1:9" x14ac:dyDescent="0.25">
      <c r="A1151">
        <v>1153</v>
      </c>
      <c r="C1151" s="77" t="s">
        <v>147</v>
      </c>
      <c r="D1151" s="77">
        <v>64261</v>
      </c>
      <c r="E1151" s="77" t="s">
        <v>329</v>
      </c>
      <c r="F1151" s="77" t="s">
        <v>392</v>
      </c>
      <c r="H1151" t="s">
        <v>389</v>
      </c>
      <c r="I1151" s="83">
        <v>45989</v>
      </c>
    </row>
    <row r="1152" spans="1:9" x14ac:dyDescent="0.25">
      <c r="A1152">
        <v>1154</v>
      </c>
      <c r="C1152" s="77">
        <v>98705458315</v>
      </c>
      <c r="D1152" s="77">
        <v>51631</v>
      </c>
      <c r="E1152" s="77" t="s">
        <v>393</v>
      </c>
      <c r="F1152" s="77" t="s">
        <v>394</v>
      </c>
      <c r="H1152" t="s">
        <v>389</v>
      </c>
      <c r="I1152" s="83">
        <v>45989</v>
      </c>
    </row>
    <row r="1153" spans="1:9" x14ac:dyDescent="0.25">
      <c r="A1153">
        <v>1155</v>
      </c>
      <c r="C1153" s="77" t="s">
        <v>395</v>
      </c>
      <c r="D1153" s="77">
        <v>71271</v>
      </c>
      <c r="E1153" s="77" t="s">
        <v>393</v>
      </c>
      <c r="F1153" s="77" t="s">
        <v>396</v>
      </c>
      <c r="H1153" t="s">
        <v>389</v>
      </c>
      <c r="I1153" s="83">
        <v>45989</v>
      </c>
    </row>
    <row r="1154" spans="1:9" x14ac:dyDescent="0.25">
      <c r="A1154">
        <v>1154</v>
      </c>
      <c r="C1154" s="81">
        <v>77637054349</v>
      </c>
      <c r="D1154" s="81">
        <v>45</v>
      </c>
      <c r="E1154" s="81" t="s">
        <v>325</v>
      </c>
      <c r="F1154" s="81" t="s">
        <v>409</v>
      </c>
      <c r="H1154" t="s">
        <v>215</v>
      </c>
      <c r="I1154" s="84">
        <v>45669</v>
      </c>
    </row>
    <row r="1155" spans="1:9" x14ac:dyDescent="0.25">
      <c r="A1155">
        <v>1155</v>
      </c>
      <c r="C1155" s="81">
        <v>64939014304</v>
      </c>
      <c r="D1155" s="81">
        <v>46</v>
      </c>
      <c r="E1155" s="81" t="s">
        <v>325</v>
      </c>
      <c r="F1155" s="81" t="s">
        <v>410</v>
      </c>
      <c r="H1155" t="s">
        <v>215</v>
      </c>
      <c r="I1155" s="84">
        <v>45669</v>
      </c>
    </row>
    <row r="1156" spans="1:9" x14ac:dyDescent="0.25">
      <c r="A1156">
        <v>1156</v>
      </c>
      <c r="C1156" s="81">
        <v>64538346349</v>
      </c>
      <c r="D1156" s="81">
        <v>49318</v>
      </c>
      <c r="E1156" s="81" t="s">
        <v>328</v>
      </c>
      <c r="F1156" s="81" t="s">
        <v>411</v>
      </c>
      <c r="H1156" t="s">
        <v>470</v>
      </c>
      <c r="I1156" s="83">
        <v>45669</v>
      </c>
    </row>
    <row r="1157" spans="1:9" x14ac:dyDescent="0.25">
      <c r="A1157">
        <v>1157</v>
      </c>
      <c r="C1157" s="81">
        <v>30142008168</v>
      </c>
      <c r="D1157" s="81">
        <v>14468</v>
      </c>
      <c r="E1157" s="81" t="s">
        <v>330</v>
      </c>
      <c r="F1157" s="81" t="s">
        <v>412</v>
      </c>
      <c r="H1157" t="s">
        <v>215</v>
      </c>
      <c r="I1157" s="84">
        <v>45669</v>
      </c>
    </row>
    <row r="1158" spans="1:9" x14ac:dyDescent="0.25">
      <c r="A1158">
        <v>1158</v>
      </c>
      <c r="C1158" s="81">
        <v>64538346349</v>
      </c>
      <c r="D1158" s="81">
        <v>49318</v>
      </c>
      <c r="E1158" s="81" t="s">
        <v>330</v>
      </c>
      <c r="F1158" s="81" t="s">
        <v>413</v>
      </c>
      <c r="H1158" t="s">
        <v>470</v>
      </c>
      <c r="I1158" s="84">
        <v>45669</v>
      </c>
    </row>
    <row r="1159" spans="1:9" x14ac:dyDescent="0.25">
      <c r="A1159">
        <v>1159</v>
      </c>
      <c r="C1159" s="81" t="s">
        <v>414</v>
      </c>
      <c r="D1159" s="81">
        <v>70704</v>
      </c>
      <c r="E1159" s="81" t="s">
        <v>330</v>
      </c>
      <c r="F1159" s="81" t="s">
        <v>415</v>
      </c>
      <c r="H1159" t="s">
        <v>470</v>
      </c>
      <c r="I1159" s="84">
        <v>45669</v>
      </c>
    </row>
    <row r="1160" spans="1:9" x14ac:dyDescent="0.25">
      <c r="A1160">
        <v>1160</v>
      </c>
      <c r="C1160" s="81">
        <v>95935746387</v>
      </c>
      <c r="D1160" s="81">
        <v>32964</v>
      </c>
      <c r="E1160" s="81" t="s">
        <v>416</v>
      </c>
      <c r="F1160" s="81" t="s">
        <v>417</v>
      </c>
      <c r="H1160" t="s">
        <v>470</v>
      </c>
      <c r="I1160" s="84">
        <v>45669</v>
      </c>
    </row>
    <row r="1161" spans="1:9" x14ac:dyDescent="0.25">
      <c r="A1161">
        <v>1161</v>
      </c>
      <c r="C1161" s="81" t="s">
        <v>418</v>
      </c>
      <c r="D1161" s="81">
        <v>41121</v>
      </c>
      <c r="E1161" s="81" t="s">
        <v>393</v>
      </c>
      <c r="F1161" s="81" t="s">
        <v>419</v>
      </c>
      <c r="H1161" t="s">
        <v>470</v>
      </c>
      <c r="I1161" s="84">
        <v>45669</v>
      </c>
    </row>
    <row r="1162" spans="1:9" x14ac:dyDescent="0.25">
      <c r="A1162">
        <v>1162</v>
      </c>
      <c r="C1162" s="81" t="s">
        <v>420</v>
      </c>
      <c r="D1162" s="81">
        <v>53603</v>
      </c>
      <c r="E1162" s="81" t="s">
        <v>393</v>
      </c>
      <c r="F1162" s="81" t="s">
        <v>421</v>
      </c>
      <c r="H1162" t="s">
        <v>470</v>
      </c>
      <c r="I1162" s="84">
        <v>45669</v>
      </c>
    </row>
    <row r="1163" spans="1:9" x14ac:dyDescent="0.25">
      <c r="A1163">
        <v>1163</v>
      </c>
      <c r="C1163" s="81">
        <v>87698838315</v>
      </c>
      <c r="D1163" s="81">
        <v>26446</v>
      </c>
      <c r="E1163" s="81" t="s">
        <v>422</v>
      </c>
      <c r="F1163" s="81" t="s">
        <v>423</v>
      </c>
      <c r="H1163" t="s">
        <v>470</v>
      </c>
      <c r="I1163" s="84">
        <v>45669</v>
      </c>
    </row>
    <row r="1164" spans="1:9" x14ac:dyDescent="0.25">
      <c r="A1164">
        <v>1164</v>
      </c>
      <c r="C1164" s="81">
        <v>43567495372</v>
      </c>
      <c r="D1164" s="81">
        <v>14834</v>
      </c>
      <c r="E1164" s="81" t="s">
        <v>422</v>
      </c>
      <c r="F1164" s="81" t="s">
        <v>424</v>
      </c>
      <c r="H1164" t="s">
        <v>470</v>
      </c>
      <c r="I1164" s="84">
        <v>45669</v>
      </c>
    </row>
    <row r="1165" spans="1:9" x14ac:dyDescent="0.25">
      <c r="A1165">
        <v>1165</v>
      </c>
      <c r="C1165" s="81" t="s">
        <v>425</v>
      </c>
      <c r="D1165" s="81">
        <v>70084</v>
      </c>
      <c r="E1165" s="81" t="s">
        <v>422</v>
      </c>
      <c r="F1165" s="81" t="s">
        <v>426</v>
      </c>
      <c r="H1165" t="s">
        <v>470</v>
      </c>
      <c r="I1165" s="84">
        <v>45669</v>
      </c>
    </row>
    <row r="1166" spans="1:9" x14ac:dyDescent="0.25">
      <c r="A1166">
        <v>1166</v>
      </c>
      <c r="C1166" s="81">
        <v>60976842319</v>
      </c>
      <c r="D1166" s="81">
        <v>71967</v>
      </c>
      <c r="E1166" s="81" t="s">
        <v>393</v>
      </c>
      <c r="F1166" s="81" t="s">
        <v>427</v>
      </c>
      <c r="H1166" t="s">
        <v>470</v>
      </c>
      <c r="I1166" s="84">
        <v>45669</v>
      </c>
    </row>
    <row r="1167" spans="1:9" x14ac:dyDescent="0.25">
      <c r="A1167">
        <v>1167</v>
      </c>
      <c r="C1167" s="81">
        <v>24716499200</v>
      </c>
      <c r="D1167" s="81">
        <v>43373</v>
      </c>
      <c r="E1167" s="81" t="s">
        <v>393</v>
      </c>
      <c r="F1167" s="81" t="s">
        <v>428</v>
      </c>
      <c r="H1167" t="s">
        <v>470</v>
      </c>
      <c r="I1167" s="84">
        <v>45669</v>
      </c>
    </row>
    <row r="1168" spans="1:9" x14ac:dyDescent="0.25">
      <c r="A1168">
        <v>1168</v>
      </c>
      <c r="C1168" s="81" t="s">
        <v>429</v>
      </c>
      <c r="D1168" s="81">
        <v>71530</v>
      </c>
      <c r="E1168" s="81" t="s">
        <v>393</v>
      </c>
      <c r="F1168" s="81" t="s">
        <v>430</v>
      </c>
      <c r="H1168" t="s">
        <v>470</v>
      </c>
      <c r="I1168" s="84">
        <v>45669</v>
      </c>
    </row>
    <row r="1169" spans="1:9" x14ac:dyDescent="0.25">
      <c r="A1169">
        <v>1169</v>
      </c>
      <c r="C1169" s="81" t="s">
        <v>431</v>
      </c>
      <c r="D1169" s="81">
        <v>71444</v>
      </c>
      <c r="E1169" s="81" t="s">
        <v>393</v>
      </c>
      <c r="F1169" s="81" t="s">
        <v>432</v>
      </c>
      <c r="H1169" t="s">
        <v>470</v>
      </c>
      <c r="I1169" s="84">
        <v>45669</v>
      </c>
    </row>
    <row r="1170" spans="1:9" x14ac:dyDescent="0.25">
      <c r="A1170">
        <v>1170</v>
      </c>
      <c r="C1170" s="81">
        <v>42522358391</v>
      </c>
      <c r="D1170" s="81">
        <v>68327</v>
      </c>
      <c r="E1170" s="81" t="s">
        <v>393</v>
      </c>
      <c r="F1170" s="81" t="s">
        <v>433</v>
      </c>
      <c r="H1170" t="s">
        <v>470</v>
      </c>
      <c r="I1170" s="84">
        <v>45669</v>
      </c>
    </row>
    <row r="1171" spans="1:9" x14ac:dyDescent="0.25">
      <c r="A1171">
        <v>1171</v>
      </c>
      <c r="C1171" s="77">
        <v>66167612315</v>
      </c>
      <c r="D1171" s="77">
        <v>51812</v>
      </c>
      <c r="E1171" s="77" t="s">
        <v>437</v>
      </c>
      <c r="F1171" s="77" t="s">
        <v>438</v>
      </c>
      <c r="H1171" t="s">
        <v>471</v>
      </c>
      <c r="I1171" s="83">
        <v>45994</v>
      </c>
    </row>
    <row r="1172" spans="1:9" x14ac:dyDescent="0.25">
      <c r="A1172">
        <v>1172</v>
      </c>
      <c r="C1172" s="77">
        <v>60880503068</v>
      </c>
      <c r="D1172" s="77">
        <v>51821</v>
      </c>
      <c r="E1172" s="77" t="s">
        <v>437</v>
      </c>
      <c r="F1172" s="77" t="s">
        <v>439</v>
      </c>
      <c r="H1172" t="s">
        <v>471</v>
      </c>
      <c r="I1172" s="83">
        <v>45994</v>
      </c>
    </row>
    <row r="1173" spans="1:9" x14ac:dyDescent="0.25">
      <c r="A1173">
        <v>1173</v>
      </c>
      <c r="C1173" s="77">
        <v>40154653349</v>
      </c>
      <c r="D1173" s="77">
        <v>63595</v>
      </c>
      <c r="E1173" s="77" t="s">
        <v>330</v>
      </c>
      <c r="F1173" s="77" t="s">
        <v>440</v>
      </c>
      <c r="H1173" t="s">
        <v>215</v>
      </c>
      <c r="I1173" s="32" t="s">
        <v>475</v>
      </c>
    </row>
    <row r="1174" spans="1:9" x14ac:dyDescent="0.25">
      <c r="A1174">
        <v>1174</v>
      </c>
      <c r="C1174" s="77">
        <v>57652074304</v>
      </c>
      <c r="D1174" s="77">
        <v>26349</v>
      </c>
      <c r="E1174" s="77" t="s">
        <v>330</v>
      </c>
      <c r="F1174" s="77" t="s">
        <v>441</v>
      </c>
      <c r="H1174" t="s">
        <v>215</v>
      </c>
      <c r="I1174" s="84">
        <v>45728</v>
      </c>
    </row>
    <row r="1175" spans="1:9" x14ac:dyDescent="0.25">
      <c r="A1175">
        <v>1175</v>
      </c>
      <c r="C1175" s="77">
        <v>57665338372</v>
      </c>
      <c r="D1175" s="77">
        <v>34292</v>
      </c>
      <c r="E1175" s="77" t="s">
        <v>332</v>
      </c>
      <c r="F1175" s="77" t="s">
        <v>442</v>
      </c>
      <c r="H1175" t="s">
        <v>471</v>
      </c>
      <c r="I1175" s="83">
        <v>45994</v>
      </c>
    </row>
    <row r="1176" spans="1:9" x14ac:dyDescent="0.25">
      <c r="A1176">
        <v>1176</v>
      </c>
      <c r="C1176" s="77" t="s">
        <v>443</v>
      </c>
      <c r="D1176" s="77">
        <v>69067</v>
      </c>
      <c r="E1176" s="77" t="s">
        <v>329</v>
      </c>
      <c r="F1176" s="77" t="s">
        <v>444</v>
      </c>
      <c r="H1176" t="s">
        <v>215</v>
      </c>
      <c r="I1176" s="84">
        <v>45728</v>
      </c>
    </row>
    <row r="1177" spans="1:9" x14ac:dyDescent="0.25">
      <c r="A1177">
        <v>1177</v>
      </c>
      <c r="C1177" s="77" t="s">
        <v>445</v>
      </c>
      <c r="D1177" s="77">
        <v>45200</v>
      </c>
      <c r="E1177" s="77" t="s">
        <v>330</v>
      </c>
      <c r="F1177" s="77" t="s">
        <v>446</v>
      </c>
      <c r="H1177" t="s">
        <v>215</v>
      </c>
      <c r="I1177" s="84">
        <v>45728</v>
      </c>
    </row>
    <row r="1178" spans="1:9" x14ac:dyDescent="0.25">
      <c r="A1178">
        <v>1178</v>
      </c>
      <c r="C1178" s="77">
        <v>61053908318</v>
      </c>
      <c r="D1178" s="77">
        <v>68824</v>
      </c>
      <c r="E1178" s="77" t="s">
        <v>447</v>
      </c>
      <c r="F1178" s="77" t="s">
        <v>448</v>
      </c>
      <c r="H1178" t="s">
        <v>471</v>
      </c>
      <c r="I1178" s="83">
        <v>45994</v>
      </c>
    </row>
    <row r="1179" spans="1:9" x14ac:dyDescent="0.25">
      <c r="A1179">
        <v>1179</v>
      </c>
      <c r="C1179" s="77">
        <v>61053908318</v>
      </c>
      <c r="D1179" s="77">
        <v>68824</v>
      </c>
      <c r="E1179" s="77" t="s">
        <v>340</v>
      </c>
      <c r="F1179" s="77" t="s">
        <v>448</v>
      </c>
      <c r="H1179" t="s">
        <v>471</v>
      </c>
      <c r="I1179" s="83">
        <v>45994</v>
      </c>
    </row>
    <row r="1180" spans="1:9" x14ac:dyDescent="0.25">
      <c r="A1180">
        <v>1180</v>
      </c>
      <c r="C1180" s="77">
        <v>61053908318</v>
      </c>
      <c r="D1180" s="77">
        <v>68824</v>
      </c>
      <c r="E1180" s="77" t="s">
        <v>341</v>
      </c>
      <c r="F1180" s="77" t="s">
        <v>448</v>
      </c>
      <c r="H1180" t="s">
        <v>471</v>
      </c>
      <c r="I1180" s="83">
        <v>45994</v>
      </c>
    </row>
    <row r="1181" spans="1:9" x14ac:dyDescent="0.25">
      <c r="A1181">
        <v>1181</v>
      </c>
      <c r="C1181" s="77" t="s">
        <v>449</v>
      </c>
      <c r="D1181" s="77" t="s">
        <v>450</v>
      </c>
      <c r="E1181" s="77" t="s">
        <v>451</v>
      </c>
      <c r="F1181" s="77" t="s">
        <v>452</v>
      </c>
      <c r="H1181" t="s">
        <v>215</v>
      </c>
      <c r="I1181" s="84">
        <v>45759</v>
      </c>
    </row>
    <row r="1182" spans="1:9" x14ac:dyDescent="0.25">
      <c r="A1182">
        <v>1182</v>
      </c>
      <c r="C1182" s="77" t="s">
        <v>159</v>
      </c>
      <c r="D1182" s="77" t="s">
        <v>453</v>
      </c>
      <c r="E1182" s="77" t="s">
        <v>326</v>
      </c>
      <c r="F1182" s="77" t="s">
        <v>454</v>
      </c>
      <c r="H1182" t="s">
        <v>215</v>
      </c>
      <c r="I1182" s="84">
        <v>45759</v>
      </c>
    </row>
    <row r="1183" spans="1:9" x14ac:dyDescent="0.25">
      <c r="A1183">
        <v>1183</v>
      </c>
      <c r="C1183" s="77" t="s">
        <v>449</v>
      </c>
      <c r="D1183" s="77" t="s">
        <v>450</v>
      </c>
      <c r="E1183" s="77" t="s">
        <v>455</v>
      </c>
      <c r="F1183" s="77">
        <v>1047.55</v>
      </c>
      <c r="H1183" t="s">
        <v>215</v>
      </c>
      <c r="I1183" s="84">
        <v>45759</v>
      </c>
    </row>
    <row r="1184" spans="1:9" x14ac:dyDescent="0.25">
      <c r="A1184">
        <v>1184</v>
      </c>
      <c r="C1184" s="77" t="s">
        <v>159</v>
      </c>
      <c r="D1184" s="77" t="s">
        <v>453</v>
      </c>
      <c r="E1184" s="77" t="s">
        <v>328</v>
      </c>
      <c r="F1184" s="77" t="s">
        <v>454</v>
      </c>
      <c r="H1184" t="s">
        <v>118</v>
      </c>
      <c r="I1184" s="32" t="s">
        <v>475</v>
      </c>
    </row>
    <row r="1185" spans="1:9" x14ac:dyDescent="0.25">
      <c r="A1185">
        <v>1185</v>
      </c>
      <c r="C1185" s="77" t="s">
        <v>449</v>
      </c>
      <c r="D1185" s="77" t="s">
        <v>450</v>
      </c>
      <c r="E1185" s="77" t="s">
        <v>329</v>
      </c>
      <c r="F1185" s="77">
        <v>1019.19</v>
      </c>
      <c r="H1185" t="s">
        <v>215</v>
      </c>
      <c r="I1185" s="84">
        <v>45759</v>
      </c>
    </row>
    <row r="1186" spans="1:9" x14ac:dyDescent="0.25">
      <c r="A1186">
        <v>1186</v>
      </c>
      <c r="C1186" s="77" t="s">
        <v>159</v>
      </c>
      <c r="D1186" s="77" t="s">
        <v>453</v>
      </c>
      <c r="E1186" s="77" t="s">
        <v>330</v>
      </c>
      <c r="F1186" s="77" t="s">
        <v>454</v>
      </c>
      <c r="H1186" t="s">
        <v>215</v>
      </c>
      <c r="I1186" s="84">
        <v>45759</v>
      </c>
    </row>
    <row r="1187" spans="1:9" x14ac:dyDescent="0.25">
      <c r="A1187">
        <v>1187</v>
      </c>
      <c r="C1187" s="77" t="s">
        <v>476</v>
      </c>
      <c r="D1187" s="77" t="s">
        <v>477</v>
      </c>
      <c r="E1187" s="77" t="s">
        <v>478</v>
      </c>
      <c r="F1187" s="77" t="s">
        <v>479</v>
      </c>
      <c r="H1187" t="s">
        <v>215</v>
      </c>
      <c r="I1187" s="84">
        <v>45789</v>
      </c>
    </row>
    <row r="1188" spans="1:9" x14ac:dyDescent="0.25">
      <c r="A1188">
        <v>1188</v>
      </c>
      <c r="C1188" s="77" t="s">
        <v>480</v>
      </c>
      <c r="D1188" s="77" t="s">
        <v>481</v>
      </c>
      <c r="E1188" s="77" t="s">
        <v>393</v>
      </c>
      <c r="F1188" s="77" t="s">
        <v>482</v>
      </c>
      <c r="H1188" t="s">
        <v>215</v>
      </c>
      <c r="I1188" s="84">
        <v>45789</v>
      </c>
    </row>
    <row r="1189" spans="1:9" x14ac:dyDescent="0.25">
      <c r="A1189">
        <v>1189</v>
      </c>
      <c r="C1189" s="77" t="s">
        <v>483</v>
      </c>
      <c r="D1189" s="77" t="s">
        <v>484</v>
      </c>
      <c r="E1189" s="77" t="s">
        <v>422</v>
      </c>
      <c r="F1189" s="77" t="s">
        <v>485</v>
      </c>
      <c r="H1189" t="s">
        <v>215</v>
      </c>
      <c r="I1189" s="84">
        <v>45789</v>
      </c>
    </row>
    <row r="1190" spans="1:9" x14ac:dyDescent="0.25">
      <c r="A1190">
        <v>1190</v>
      </c>
      <c r="C1190" s="77" t="s">
        <v>486</v>
      </c>
      <c r="D1190" s="77" t="s">
        <v>487</v>
      </c>
      <c r="E1190" s="77" t="s">
        <v>478</v>
      </c>
      <c r="F1190" s="77" t="s">
        <v>488</v>
      </c>
      <c r="H1190" t="s">
        <v>215</v>
      </c>
      <c r="I1190" s="84">
        <v>45789</v>
      </c>
    </row>
    <row r="1191" spans="1:9" x14ac:dyDescent="0.25">
      <c r="A1191">
        <v>1191</v>
      </c>
      <c r="C1191" s="77" t="s">
        <v>489</v>
      </c>
      <c r="D1191" s="77" t="s">
        <v>490</v>
      </c>
      <c r="E1191" s="77" t="s">
        <v>478</v>
      </c>
      <c r="F1191" s="77" t="s">
        <v>491</v>
      </c>
      <c r="H1191" t="s">
        <v>215</v>
      </c>
      <c r="I1191" s="84">
        <v>45789</v>
      </c>
    </row>
    <row r="1192" spans="1:9" x14ac:dyDescent="0.25">
      <c r="A1192">
        <v>1192</v>
      </c>
      <c r="C1192" s="77" t="s">
        <v>492</v>
      </c>
      <c r="D1192" s="77" t="s">
        <v>493</v>
      </c>
      <c r="E1192" s="77" t="s">
        <v>393</v>
      </c>
      <c r="F1192" s="77" t="s">
        <v>494</v>
      </c>
      <c r="H1192" t="s">
        <v>215</v>
      </c>
      <c r="I1192" s="84">
        <v>45789</v>
      </c>
    </row>
    <row r="1193" spans="1:9" x14ac:dyDescent="0.25">
      <c r="A1193">
        <v>1193</v>
      </c>
      <c r="C1193" s="77" t="s">
        <v>492</v>
      </c>
      <c r="D1193" s="77" t="s">
        <v>495</v>
      </c>
      <c r="E1193" s="77" t="s">
        <v>393</v>
      </c>
      <c r="F1193" s="77" t="s">
        <v>496</v>
      </c>
      <c r="H1193" t="s">
        <v>215</v>
      </c>
      <c r="I1193" s="84">
        <v>45789</v>
      </c>
    </row>
    <row r="1194" spans="1:9" x14ac:dyDescent="0.25">
      <c r="A1194">
        <v>1194</v>
      </c>
      <c r="C1194" s="77" t="s">
        <v>497</v>
      </c>
      <c r="D1194" s="77" t="s">
        <v>498</v>
      </c>
      <c r="E1194" s="77" t="s">
        <v>393</v>
      </c>
      <c r="F1194" s="77" t="s">
        <v>499</v>
      </c>
      <c r="H1194" t="s">
        <v>215</v>
      </c>
      <c r="I1194" s="84">
        <v>45789</v>
      </c>
    </row>
    <row r="1195" spans="1:9" x14ac:dyDescent="0.25">
      <c r="A1195">
        <v>1195</v>
      </c>
      <c r="C1195" s="77" t="s">
        <v>500</v>
      </c>
      <c r="D1195" s="77" t="s">
        <v>501</v>
      </c>
      <c r="E1195" s="77" t="s">
        <v>393</v>
      </c>
      <c r="F1195" s="77" t="s">
        <v>502</v>
      </c>
      <c r="H1195" t="s">
        <v>215</v>
      </c>
      <c r="I1195" s="84">
        <v>45789</v>
      </c>
    </row>
    <row r="1196" spans="1:9" x14ac:dyDescent="0.25">
      <c r="A1196">
        <v>1196</v>
      </c>
      <c r="C1196" s="77" t="s">
        <v>503</v>
      </c>
      <c r="D1196" s="77" t="s">
        <v>504</v>
      </c>
      <c r="E1196" s="77" t="s">
        <v>393</v>
      </c>
      <c r="F1196" s="77" t="s">
        <v>505</v>
      </c>
      <c r="H1196" t="s">
        <v>215</v>
      </c>
      <c r="I1196" s="84">
        <v>45789</v>
      </c>
    </row>
    <row r="1197" spans="1:9" x14ac:dyDescent="0.25">
      <c r="A1197">
        <v>1197</v>
      </c>
      <c r="C1197" s="77" t="s">
        <v>506</v>
      </c>
      <c r="D1197" s="77" t="s">
        <v>507</v>
      </c>
      <c r="E1197" s="77" t="s">
        <v>478</v>
      </c>
      <c r="F1197" s="77" t="s">
        <v>508</v>
      </c>
      <c r="H1197" t="s">
        <v>215</v>
      </c>
      <c r="I1197" s="84">
        <v>45789</v>
      </c>
    </row>
    <row r="1198" spans="1:9" x14ac:dyDescent="0.25">
      <c r="A1198">
        <v>1198</v>
      </c>
      <c r="C1198" s="32" t="s">
        <v>509</v>
      </c>
      <c r="D1198" s="32" t="s">
        <v>510</v>
      </c>
      <c r="E1198" s="32" t="s">
        <v>324</v>
      </c>
      <c r="F1198" s="32" t="s">
        <v>511</v>
      </c>
      <c r="H1198" t="s">
        <v>215</v>
      </c>
      <c r="I1198" s="84">
        <v>45789</v>
      </c>
    </row>
    <row r="1199" spans="1:9" x14ac:dyDescent="0.25">
      <c r="A1199">
        <v>1199</v>
      </c>
      <c r="C1199" s="32" t="s">
        <v>512</v>
      </c>
      <c r="D1199" s="32" t="s">
        <v>513</v>
      </c>
      <c r="E1199" s="32" t="s">
        <v>332</v>
      </c>
      <c r="F1199" s="32" t="s">
        <v>514</v>
      </c>
      <c r="H1199" t="s">
        <v>118</v>
      </c>
    </row>
    <row r="1200" spans="1:9" x14ac:dyDescent="0.25">
      <c r="A1200">
        <v>1200</v>
      </c>
      <c r="C1200" s="32" t="s">
        <v>515</v>
      </c>
      <c r="D1200" s="32" t="s">
        <v>516</v>
      </c>
      <c r="E1200" s="32" t="s">
        <v>393</v>
      </c>
      <c r="F1200" s="32" t="s">
        <v>517</v>
      </c>
      <c r="H1200" t="s">
        <v>215</v>
      </c>
      <c r="I1200" s="84">
        <v>45789</v>
      </c>
    </row>
    <row r="1201" spans="1:9" x14ac:dyDescent="0.25">
      <c r="A1201">
        <v>1201</v>
      </c>
      <c r="C1201" s="32" t="s">
        <v>518</v>
      </c>
      <c r="D1201" s="32" t="s">
        <v>519</v>
      </c>
      <c r="E1201" s="32" t="s">
        <v>393</v>
      </c>
      <c r="F1201" s="32" t="s">
        <v>520</v>
      </c>
      <c r="H1201" t="s">
        <v>118</v>
      </c>
    </row>
    <row r="1202" spans="1:9" x14ac:dyDescent="0.25">
      <c r="A1202">
        <v>1202</v>
      </c>
      <c r="C1202" s="32" t="s">
        <v>521</v>
      </c>
      <c r="D1202" s="32" t="s">
        <v>522</v>
      </c>
      <c r="E1202" s="32" t="s">
        <v>478</v>
      </c>
      <c r="F1202" s="32" t="s">
        <v>523</v>
      </c>
      <c r="H1202" t="s">
        <v>215</v>
      </c>
      <c r="I1202" s="84">
        <v>45789</v>
      </c>
    </row>
    <row r="1203" spans="1:9" x14ac:dyDescent="0.25">
      <c r="A1203">
        <v>1203</v>
      </c>
      <c r="C1203" t="s">
        <v>524</v>
      </c>
      <c r="D1203" t="s">
        <v>525</v>
      </c>
      <c r="E1203" t="s">
        <v>478</v>
      </c>
      <c r="F1203" t="s">
        <v>526</v>
      </c>
      <c r="H1203" t="s">
        <v>215</v>
      </c>
      <c r="I1203" s="84">
        <v>45881</v>
      </c>
    </row>
    <row r="1204" spans="1:9" x14ac:dyDescent="0.25">
      <c r="A1204">
        <v>1204</v>
      </c>
      <c r="C1204" t="s">
        <v>527</v>
      </c>
      <c r="D1204" t="s">
        <v>528</v>
      </c>
      <c r="E1204" t="s">
        <v>478</v>
      </c>
      <c r="F1204" t="s">
        <v>529</v>
      </c>
      <c r="H1204" t="s">
        <v>215</v>
      </c>
      <c r="I1204" s="84">
        <v>45881</v>
      </c>
    </row>
    <row r="1205" spans="1:9" x14ac:dyDescent="0.25">
      <c r="A1205">
        <v>1205</v>
      </c>
      <c r="C1205" t="s">
        <v>530</v>
      </c>
      <c r="D1205" t="s">
        <v>531</v>
      </c>
      <c r="E1205" t="s">
        <v>478</v>
      </c>
      <c r="F1205" t="s">
        <v>532</v>
      </c>
      <c r="H1205" t="s">
        <v>215</v>
      </c>
      <c r="I1205" s="84">
        <v>45881</v>
      </c>
    </row>
    <row r="1206" spans="1:9" x14ac:dyDescent="0.25">
      <c r="A1206">
        <v>1206</v>
      </c>
      <c r="C1206" t="s">
        <v>533</v>
      </c>
      <c r="D1206" t="s">
        <v>534</v>
      </c>
      <c r="E1206" t="s">
        <v>478</v>
      </c>
      <c r="F1206" t="s">
        <v>535</v>
      </c>
      <c r="H1206" t="s">
        <v>215</v>
      </c>
      <c r="I1206" s="84">
        <v>45881</v>
      </c>
    </row>
    <row r="1207" spans="1:9" x14ac:dyDescent="0.25">
      <c r="A1207">
        <v>1207</v>
      </c>
      <c r="C1207" t="s">
        <v>536</v>
      </c>
      <c r="D1207" t="s">
        <v>537</v>
      </c>
      <c r="E1207" t="s">
        <v>478</v>
      </c>
      <c r="F1207" t="s">
        <v>538</v>
      </c>
      <c r="H1207" t="s">
        <v>215</v>
      </c>
      <c r="I1207" s="84">
        <v>45881</v>
      </c>
    </row>
    <row r="1208" spans="1:9" x14ac:dyDescent="0.25">
      <c r="A1208">
        <v>1208</v>
      </c>
      <c r="C1208" t="s">
        <v>539</v>
      </c>
      <c r="D1208" t="s">
        <v>540</v>
      </c>
      <c r="E1208" t="s">
        <v>329</v>
      </c>
      <c r="F1208" t="s">
        <v>541</v>
      </c>
      <c r="H1208" t="s">
        <v>215</v>
      </c>
      <c r="I1208" s="84">
        <v>45942</v>
      </c>
    </row>
    <row r="1209" spans="1:9" x14ac:dyDescent="0.25">
      <c r="A1209">
        <v>1209</v>
      </c>
      <c r="C1209" t="s">
        <v>542</v>
      </c>
      <c r="D1209" t="s">
        <v>543</v>
      </c>
      <c r="E1209" t="s">
        <v>329</v>
      </c>
      <c r="F1209" t="s">
        <v>544</v>
      </c>
      <c r="H1209" t="s">
        <v>215</v>
      </c>
      <c r="I1209" s="84">
        <v>45942</v>
      </c>
    </row>
    <row r="1210" spans="1:9" x14ac:dyDescent="0.25">
      <c r="A1210">
        <v>1210</v>
      </c>
      <c r="C1210" t="s">
        <v>545</v>
      </c>
      <c r="D1210" t="s">
        <v>546</v>
      </c>
      <c r="E1210" t="s">
        <v>478</v>
      </c>
      <c r="F1210" t="s">
        <v>547</v>
      </c>
      <c r="H1210" t="s">
        <v>215</v>
      </c>
      <c r="I1210" s="84">
        <v>45942</v>
      </c>
    </row>
    <row r="1211" spans="1:9" x14ac:dyDescent="0.25">
      <c r="A1211">
        <v>1211</v>
      </c>
      <c r="C1211" t="s">
        <v>545</v>
      </c>
      <c r="D1211" t="s">
        <v>548</v>
      </c>
      <c r="E1211" t="s">
        <v>478</v>
      </c>
      <c r="F1211" t="s">
        <v>547</v>
      </c>
      <c r="H1211" t="s">
        <v>215</v>
      </c>
      <c r="I1211" s="84">
        <v>45942</v>
      </c>
    </row>
    <row r="1212" spans="1:9" x14ac:dyDescent="0.25">
      <c r="A1212">
        <v>1212</v>
      </c>
      <c r="C1212" t="s">
        <v>549</v>
      </c>
      <c r="D1212" t="s">
        <v>550</v>
      </c>
      <c r="E1212" t="s">
        <v>478</v>
      </c>
      <c r="F1212" t="s">
        <v>551</v>
      </c>
      <c r="H1212" t="s">
        <v>215</v>
      </c>
      <c r="I1212" s="84">
        <v>45942</v>
      </c>
    </row>
    <row r="1213" spans="1:9" x14ac:dyDescent="0.25">
      <c r="A1213">
        <v>1213</v>
      </c>
      <c r="C1213" t="s">
        <v>552</v>
      </c>
      <c r="D1213" t="s">
        <v>553</v>
      </c>
      <c r="E1213" t="s">
        <v>393</v>
      </c>
      <c r="F1213" t="s">
        <v>554</v>
      </c>
      <c r="H1213" t="s">
        <v>215</v>
      </c>
      <c r="I1213" s="84">
        <v>45942</v>
      </c>
    </row>
    <row r="1214" spans="1:9" x14ac:dyDescent="0.25">
      <c r="A1214">
        <v>1214</v>
      </c>
      <c r="C1214" t="s">
        <v>555</v>
      </c>
      <c r="D1214" t="s">
        <v>556</v>
      </c>
      <c r="E1214" t="s">
        <v>478</v>
      </c>
      <c r="F1214" t="s">
        <v>557</v>
      </c>
      <c r="H1214" t="s">
        <v>215</v>
      </c>
      <c r="I1214" s="84">
        <v>45942</v>
      </c>
    </row>
    <row r="1215" spans="1:9" x14ac:dyDescent="0.25">
      <c r="A1215">
        <v>1215</v>
      </c>
      <c r="C1215" t="s">
        <v>558</v>
      </c>
      <c r="D1215" t="s">
        <v>559</v>
      </c>
      <c r="E1215" t="s">
        <v>393</v>
      </c>
      <c r="F1215" t="s">
        <v>560</v>
      </c>
      <c r="H1215" t="s">
        <v>215</v>
      </c>
      <c r="I1215" s="84">
        <v>45942</v>
      </c>
    </row>
    <row r="1216" spans="1:9" x14ac:dyDescent="0.25">
      <c r="A1216">
        <v>1216</v>
      </c>
      <c r="C1216" t="s">
        <v>561</v>
      </c>
      <c r="D1216" t="s">
        <v>562</v>
      </c>
      <c r="E1216" t="s">
        <v>393</v>
      </c>
      <c r="F1216" t="s">
        <v>563</v>
      </c>
      <c r="H1216" t="s">
        <v>215</v>
      </c>
      <c r="I1216" s="84">
        <v>45942</v>
      </c>
    </row>
    <row r="1217" spans="1:9" x14ac:dyDescent="0.25">
      <c r="A1217">
        <v>1217</v>
      </c>
      <c r="C1217" t="s">
        <v>564</v>
      </c>
      <c r="D1217" t="s">
        <v>565</v>
      </c>
      <c r="E1217" t="s">
        <v>422</v>
      </c>
      <c r="F1217" t="s">
        <v>566</v>
      </c>
      <c r="H1217" t="s">
        <v>215</v>
      </c>
      <c r="I1217" s="84">
        <v>45942</v>
      </c>
    </row>
    <row r="1218" spans="1:9" x14ac:dyDescent="0.25">
      <c r="A1218">
        <v>1218</v>
      </c>
      <c r="C1218" t="s">
        <v>567</v>
      </c>
      <c r="D1218" t="s">
        <v>568</v>
      </c>
      <c r="E1218" t="s">
        <v>393</v>
      </c>
      <c r="F1218" t="s">
        <v>569</v>
      </c>
      <c r="H1218" t="s">
        <v>215</v>
      </c>
      <c r="I1218" s="84">
        <v>45942</v>
      </c>
    </row>
    <row r="1219" spans="1:9" x14ac:dyDescent="0.25">
      <c r="A1219">
        <v>1219</v>
      </c>
      <c r="C1219" t="s">
        <v>570</v>
      </c>
      <c r="D1219" t="s">
        <v>571</v>
      </c>
      <c r="E1219" t="s">
        <v>478</v>
      </c>
      <c r="F1219" t="s">
        <v>572</v>
      </c>
      <c r="H1219" t="s">
        <v>215</v>
      </c>
      <c r="I1219" s="84">
        <v>45942</v>
      </c>
    </row>
    <row r="1220" spans="1:9" x14ac:dyDescent="0.25">
      <c r="A1220">
        <v>1220</v>
      </c>
      <c r="C1220" t="s">
        <v>573</v>
      </c>
      <c r="D1220" t="s">
        <v>574</v>
      </c>
      <c r="E1220" t="s">
        <v>478</v>
      </c>
      <c r="F1220" t="s">
        <v>575</v>
      </c>
      <c r="H1220" t="s">
        <v>215</v>
      </c>
      <c r="I1220" s="84">
        <v>45942</v>
      </c>
    </row>
    <row r="1221" spans="1:9" x14ac:dyDescent="0.25">
      <c r="A1221">
        <v>1221</v>
      </c>
      <c r="C1221" t="s">
        <v>576</v>
      </c>
      <c r="D1221" t="s">
        <v>577</v>
      </c>
      <c r="E1221" t="s">
        <v>478</v>
      </c>
      <c r="F1221" t="s">
        <v>578</v>
      </c>
      <c r="H1221" t="s">
        <v>215</v>
      </c>
      <c r="I1221" s="84">
        <v>45942</v>
      </c>
    </row>
    <row r="1222" spans="1:9" x14ac:dyDescent="0.25">
      <c r="A1222">
        <v>1222</v>
      </c>
      <c r="C1222" t="s">
        <v>579</v>
      </c>
      <c r="D1222" t="s">
        <v>580</v>
      </c>
      <c r="E1222" t="s">
        <v>393</v>
      </c>
      <c r="F1222" t="s">
        <v>427</v>
      </c>
      <c r="H1222" t="s">
        <v>215</v>
      </c>
      <c r="I1222" s="84">
        <v>45942</v>
      </c>
    </row>
    <row r="1223" spans="1:9" x14ac:dyDescent="0.25">
      <c r="A1223">
        <v>1223</v>
      </c>
      <c r="C1223" t="s">
        <v>581</v>
      </c>
      <c r="D1223" t="s">
        <v>582</v>
      </c>
      <c r="E1223" t="s">
        <v>478</v>
      </c>
      <c r="F1223" t="s">
        <v>583</v>
      </c>
      <c r="H1223" t="s">
        <v>215</v>
      </c>
      <c r="I1223" s="84">
        <v>45942</v>
      </c>
    </row>
    <row r="1224" spans="1:9" x14ac:dyDescent="0.25">
      <c r="A1224">
        <v>1224</v>
      </c>
      <c r="C1224" t="s">
        <v>150</v>
      </c>
      <c r="D1224" t="s">
        <v>584</v>
      </c>
      <c r="E1224" t="s">
        <v>330</v>
      </c>
      <c r="F1224" t="s">
        <v>585</v>
      </c>
      <c r="H1224" t="s">
        <v>215</v>
      </c>
      <c r="I1224" s="84">
        <v>45942</v>
      </c>
    </row>
    <row r="1225" spans="1:9" x14ac:dyDescent="0.25">
      <c r="A1225">
        <v>1225</v>
      </c>
      <c r="C1225" t="s">
        <v>586</v>
      </c>
      <c r="D1225" t="s">
        <v>587</v>
      </c>
      <c r="E1225" t="s">
        <v>393</v>
      </c>
      <c r="F1225" t="s">
        <v>588</v>
      </c>
      <c r="H1225" t="s">
        <v>215</v>
      </c>
      <c r="I1225" s="84">
        <v>45942</v>
      </c>
    </row>
    <row r="1226" spans="1:9" x14ac:dyDescent="0.25">
      <c r="A1226">
        <v>1226</v>
      </c>
      <c r="C1226" t="s">
        <v>589</v>
      </c>
      <c r="D1226" t="s">
        <v>590</v>
      </c>
      <c r="E1226" t="s">
        <v>393</v>
      </c>
      <c r="F1226" t="s">
        <v>591</v>
      </c>
      <c r="H1226" t="s">
        <v>215</v>
      </c>
      <c r="I1226" s="84">
        <v>45942</v>
      </c>
    </row>
    <row r="1227" spans="1:9" x14ac:dyDescent="0.25">
      <c r="A1227">
        <v>1227</v>
      </c>
      <c r="C1227" t="s">
        <v>592</v>
      </c>
      <c r="D1227" t="s">
        <v>593</v>
      </c>
      <c r="E1227" t="s">
        <v>594</v>
      </c>
      <c r="F1227" t="s">
        <v>595</v>
      </c>
      <c r="H1227" t="s">
        <v>603</v>
      </c>
    </row>
    <row r="1228" spans="1:9" x14ac:dyDescent="0.25">
      <c r="A1228">
        <v>1228</v>
      </c>
      <c r="C1228" t="s">
        <v>592</v>
      </c>
      <c r="D1228" t="s">
        <v>596</v>
      </c>
      <c r="E1228" t="s">
        <v>383</v>
      </c>
      <c r="F1228" t="s">
        <v>597</v>
      </c>
      <c r="H1228" t="s">
        <v>603</v>
      </c>
    </row>
    <row r="1229" spans="1:9" x14ac:dyDescent="0.25">
      <c r="A1229">
        <v>1229</v>
      </c>
      <c r="C1229" t="s">
        <v>592</v>
      </c>
      <c r="D1229" t="s">
        <v>596</v>
      </c>
      <c r="E1229" t="s">
        <v>598</v>
      </c>
      <c r="F1229" t="s">
        <v>597</v>
      </c>
      <c r="H1229" t="s">
        <v>603</v>
      </c>
    </row>
    <row r="1230" spans="1:9" x14ac:dyDescent="0.25">
      <c r="A1230">
        <v>1230</v>
      </c>
      <c r="C1230" t="s">
        <v>599</v>
      </c>
      <c r="D1230" t="s">
        <v>600</v>
      </c>
      <c r="E1230" t="s">
        <v>601</v>
      </c>
      <c r="F1230" t="s">
        <v>602</v>
      </c>
      <c r="H1230" t="s">
        <v>603</v>
      </c>
    </row>
    <row r="1231" spans="1:9" x14ac:dyDescent="0.25">
      <c r="A1231">
        <v>1231</v>
      </c>
      <c r="C1231" t="s">
        <v>610</v>
      </c>
      <c r="D1231" t="s">
        <v>611</v>
      </c>
      <c r="E1231" t="s">
        <v>325</v>
      </c>
      <c r="F1231" t="s">
        <v>454</v>
      </c>
      <c r="H1231" t="s">
        <v>215</v>
      </c>
      <c r="I1231" s="84">
        <v>45973</v>
      </c>
    </row>
    <row r="1232" spans="1:9" x14ac:dyDescent="0.25">
      <c r="A1232">
        <v>1232</v>
      </c>
      <c r="C1232" t="s">
        <v>612</v>
      </c>
      <c r="D1232" t="s">
        <v>613</v>
      </c>
      <c r="E1232" t="s">
        <v>451</v>
      </c>
      <c r="F1232" t="s">
        <v>614</v>
      </c>
      <c r="H1232" t="s">
        <v>215</v>
      </c>
      <c r="I1232" s="84">
        <v>45973</v>
      </c>
    </row>
    <row r="1233" spans="1:9" x14ac:dyDescent="0.25">
      <c r="A1233">
        <v>1233</v>
      </c>
      <c r="C1233" t="s">
        <v>610</v>
      </c>
      <c r="D1233" t="s">
        <v>611</v>
      </c>
      <c r="E1233" t="s">
        <v>327</v>
      </c>
      <c r="F1233" t="s">
        <v>454</v>
      </c>
      <c r="H1233" t="s">
        <v>215</v>
      </c>
      <c r="I1233" s="84">
        <v>45973</v>
      </c>
    </row>
    <row r="1234" spans="1:9" x14ac:dyDescent="0.25">
      <c r="A1234">
        <v>1234</v>
      </c>
      <c r="C1234" t="s">
        <v>612</v>
      </c>
      <c r="D1234" t="s">
        <v>613</v>
      </c>
      <c r="E1234" t="s">
        <v>455</v>
      </c>
      <c r="F1234" t="s">
        <v>615</v>
      </c>
      <c r="H1234" t="s">
        <v>215</v>
      </c>
      <c r="I1234" s="84">
        <v>45973</v>
      </c>
    </row>
    <row r="1235" spans="1:9" x14ac:dyDescent="0.25">
      <c r="A1235">
        <v>1235</v>
      </c>
      <c r="C1235" t="s">
        <v>612</v>
      </c>
      <c r="D1235" t="s">
        <v>613</v>
      </c>
      <c r="E1235" t="s">
        <v>329</v>
      </c>
      <c r="F1235" t="s">
        <v>615</v>
      </c>
      <c r="H1235" t="s">
        <v>215</v>
      </c>
      <c r="I1235" s="84">
        <v>45973</v>
      </c>
    </row>
    <row r="1236" spans="1:9" x14ac:dyDescent="0.25">
      <c r="A1236">
        <v>1236</v>
      </c>
      <c r="C1236" t="s">
        <v>610</v>
      </c>
      <c r="D1236" t="s">
        <v>611</v>
      </c>
      <c r="E1236" t="s">
        <v>332</v>
      </c>
      <c r="F1236" t="s">
        <v>454</v>
      </c>
      <c r="H1236" t="s">
        <v>215</v>
      </c>
      <c r="I1236" s="84">
        <v>45973</v>
      </c>
    </row>
    <row r="1237" spans="1:9" x14ac:dyDescent="0.25">
      <c r="A1237">
        <v>1237</v>
      </c>
      <c r="C1237" t="s">
        <v>616</v>
      </c>
      <c r="D1237" t="s">
        <v>617</v>
      </c>
      <c r="E1237" t="s">
        <v>332</v>
      </c>
      <c r="F1237" t="s">
        <v>618</v>
      </c>
      <c r="H1237" t="s">
        <v>215</v>
      </c>
      <c r="I1237" s="84">
        <v>45973</v>
      </c>
    </row>
    <row r="1238" spans="1:9" x14ac:dyDescent="0.25">
      <c r="A1238">
        <v>1238</v>
      </c>
      <c r="C1238" t="s">
        <v>619</v>
      </c>
      <c r="D1238" t="s">
        <v>620</v>
      </c>
      <c r="E1238" t="s">
        <v>478</v>
      </c>
      <c r="F1238" t="s">
        <v>621</v>
      </c>
      <c r="H1238" t="s">
        <v>118</v>
      </c>
    </row>
    <row r="1239" spans="1:9" x14ac:dyDescent="0.25">
      <c r="A1239">
        <v>1239</v>
      </c>
      <c r="C1239" t="s">
        <v>619</v>
      </c>
      <c r="D1239" t="s">
        <v>622</v>
      </c>
      <c r="E1239" t="s">
        <v>478</v>
      </c>
      <c r="F1239" t="s">
        <v>623</v>
      </c>
      <c r="H1239" t="s">
        <v>215</v>
      </c>
      <c r="I1239" s="84">
        <v>45973</v>
      </c>
    </row>
    <row r="1240" spans="1:9" x14ac:dyDescent="0.25">
      <c r="A1240">
        <v>1240</v>
      </c>
      <c r="C1240" t="s">
        <v>624</v>
      </c>
      <c r="D1240" t="s">
        <v>625</v>
      </c>
      <c r="E1240" t="s">
        <v>478</v>
      </c>
      <c r="F1240" t="s">
        <v>626</v>
      </c>
      <c r="H1240" t="s">
        <v>215</v>
      </c>
      <c r="I1240" s="84">
        <v>45973</v>
      </c>
    </row>
    <row r="1241" spans="1:9" x14ac:dyDescent="0.25">
      <c r="A1241">
        <v>1241</v>
      </c>
      <c r="C1241" t="s">
        <v>627</v>
      </c>
      <c r="D1241" t="s">
        <v>628</v>
      </c>
      <c r="E1241" t="s">
        <v>629</v>
      </c>
      <c r="F1241" t="s">
        <v>630</v>
      </c>
      <c r="H1241" t="s">
        <v>215</v>
      </c>
      <c r="I1241" s="84">
        <v>45973</v>
      </c>
    </row>
    <row r="1242" spans="1:9" x14ac:dyDescent="0.25">
      <c r="A1242">
        <v>1242</v>
      </c>
      <c r="C1242" t="s">
        <v>631</v>
      </c>
      <c r="D1242" t="s">
        <v>632</v>
      </c>
      <c r="E1242" t="s">
        <v>629</v>
      </c>
      <c r="F1242" t="s">
        <v>633</v>
      </c>
      <c r="H1242" t="s">
        <v>215</v>
      </c>
      <c r="I1242" s="84">
        <v>45973</v>
      </c>
    </row>
    <row r="1243" spans="1:9" x14ac:dyDescent="0.25">
      <c r="A1243">
        <v>1243</v>
      </c>
      <c r="C1243" t="s">
        <v>634</v>
      </c>
      <c r="D1243" t="s">
        <v>635</v>
      </c>
      <c r="E1243" t="s">
        <v>629</v>
      </c>
      <c r="F1243" t="s">
        <v>636</v>
      </c>
      <c r="H1243" t="s">
        <v>215</v>
      </c>
      <c r="I1243" s="84">
        <v>45973</v>
      </c>
    </row>
    <row r="1244" spans="1:9" x14ac:dyDescent="0.25">
      <c r="A1244">
        <v>1244</v>
      </c>
      <c r="C1244" t="s">
        <v>637</v>
      </c>
      <c r="D1244" t="s">
        <v>638</v>
      </c>
      <c r="E1244" t="s">
        <v>629</v>
      </c>
      <c r="F1244" t="s">
        <v>639</v>
      </c>
      <c r="H1244" t="s">
        <v>215</v>
      </c>
      <c r="I1244" s="84">
        <v>45973</v>
      </c>
    </row>
    <row r="1245" spans="1:9" x14ac:dyDescent="0.25">
      <c r="A1245">
        <v>1245</v>
      </c>
      <c r="C1245" t="s">
        <v>640</v>
      </c>
      <c r="D1245" t="s">
        <v>641</v>
      </c>
      <c r="E1245" t="s">
        <v>629</v>
      </c>
      <c r="F1245" t="s">
        <v>642</v>
      </c>
      <c r="H1245" t="s">
        <v>215</v>
      </c>
      <c r="I1245" s="84">
        <v>45973</v>
      </c>
    </row>
    <row r="1246" spans="1:9" x14ac:dyDescent="0.25">
      <c r="A1246">
        <v>1246</v>
      </c>
      <c r="C1246" t="s">
        <v>307</v>
      </c>
      <c r="D1246" t="s">
        <v>643</v>
      </c>
      <c r="E1246" t="s">
        <v>629</v>
      </c>
      <c r="F1246" t="s">
        <v>426</v>
      </c>
      <c r="H1246" t="s">
        <v>215</v>
      </c>
      <c r="I1246" s="84">
        <v>45973</v>
      </c>
    </row>
    <row r="1247" spans="1:9" x14ac:dyDescent="0.25">
      <c r="A1247">
        <v>1247</v>
      </c>
      <c r="C1247" t="s">
        <v>165</v>
      </c>
      <c r="D1247" t="s">
        <v>644</v>
      </c>
      <c r="E1247" t="s">
        <v>629</v>
      </c>
      <c r="F1247" t="s">
        <v>645</v>
      </c>
      <c r="H1247" t="s">
        <v>215</v>
      </c>
      <c r="I1247" s="84">
        <v>45973</v>
      </c>
    </row>
    <row r="1248" spans="1:9" x14ac:dyDescent="0.25">
      <c r="A1248">
        <v>1248</v>
      </c>
      <c r="C1248" t="s">
        <v>646</v>
      </c>
      <c r="D1248" t="s">
        <v>647</v>
      </c>
      <c r="E1248" t="s">
        <v>629</v>
      </c>
      <c r="F1248" t="s">
        <v>648</v>
      </c>
      <c r="H1248" t="s">
        <v>215</v>
      </c>
      <c r="I1248" s="84">
        <v>45973</v>
      </c>
    </row>
    <row r="1249" spans="1:9" x14ac:dyDescent="0.25">
      <c r="A1249">
        <v>1249</v>
      </c>
      <c r="C1249" t="s">
        <v>649</v>
      </c>
      <c r="D1249" t="s">
        <v>650</v>
      </c>
      <c r="E1249" t="s">
        <v>629</v>
      </c>
      <c r="F1249" t="s">
        <v>651</v>
      </c>
      <c r="H1249" t="s">
        <v>215</v>
      </c>
      <c r="I1249" s="84">
        <v>45973</v>
      </c>
    </row>
    <row r="1250" spans="1:9" x14ac:dyDescent="0.25">
      <c r="A1250">
        <v>1250</v>
      </c>
      <c r="C1250" t="s">
        <v>652</v>
      </c>
      <c r="D1250" t="s">
        <v>653</v>
      </c>
      <c r="E1250" t="s">
        <v>629</v>
      </c>
      <c r="F1250" t="s">
        <v>654</v>
      </c>
      <c r="H1250" t="s">
        <v>215</v>
      </c>
      <c r="I1250" s="84">
        <v>45973</v>
      </c>
    </row>
    <row r="1251" spans="1:9" x14ac:dyDescent="0.25">
      <c r="A1251">
        <v>1251</v>
      </c>
      <c r="C1251" t="s">
        <v>655</v>
      </c>
      <c r="D1251" t="s">
        <v>656</v>
      </c>
      <c r="E1251" t="s">
        <v>629</v>
      </c>
      <c r="F1251" t="s">
        <v>547</v>
      </c>
      <c r="H1251" t="s">
        <v>215</v>
      </c>
      <c r="I1251" s="84">
        <v>45973</v>
      </c>
    </row>
    <row r="1252" spans="1:9" x14ac:dyDescent="0.25">
      <c r="A1252">
        <v>1252</v>
      </c>
      <c r="C1252" t="s">
        <v>657</v>
      </c>
      <c r="D1252" t="s">
        <v>658</v>
      </c>
      <c r="E1252" t="s">
        <v>629</v>
      </c>
      <c r="F1252" t="s">
        <v>659</v>
      </c>
      <c r="H1252" t="s">
        <v>215</v>
      </c>
      <c r="I1252" s="84">
        <v>45973</v>
      </c>
    </row>
    <row r="1253" spans="1:9" x14ac:dyDescent="0.25">
      <c r="A1253">
        <v>1253</v>
      </c>
      <c r="C1253" t="s">
        <v>660</v>
      </c>
      <c r="D1253" t="s">
        <v>661</v>
      </c>
      <c r="E1253" t="s">
        <v>629</v>
      </c>
      <c r="F1253" t="s">
        <v>662</v>
      </c>
      <c r="H1253" t="s">
        <v>215</v>
      </c>
      <c r="I1253" s="84">
        <v>45973</v>
      </c>
    </row>
    <row r="1254" spans="1:9" x14ac:dyDescent="0.25">
      <c r="A1254">
        <v>1254</v>
      </c>
      <c r="C1254" t="s">
        <v>663</v>
      </c>
      <c r="D1254" t="s">
        <v>664</v>
      </c>
      <c r="E1254" t="s">
        <v>629</v>
      </c>
      <c r="F1254" t="s">
        <v>569</v>
      </c>
      <c r="H1254" t="s">
        <v>215</v>
      </c>
      <c r="I1254" s="84">
        <v>45973</v>
      </c>
    </row>
    <row r="1255" spans="1:9" x14ac:dyDescent="0.25">
      <c r="A1255">
        <v>1255</v>
      </c>
      <c r="C1255" t="s">
        <v>173</v>
      </c>
      <c r="D1255" t="s">
        <v>665</v>
      </c>
      <c r="E1255" t="s">
        <v>393</v>
      </c>
      <c r="F1255" t="s">
        <v>666</v>
      </c>
      <c r="H1255" t="s">
        <v>215</v>
      </c>
      <c r="I1255" s="84">
        <v>45973</v>
      </c>
    </row>
    <row r="1256" spans="1:9" x14ac:dyDescent="0.25">
      <c r="A1256">
        <v>1256</v>
      </c>
      <c r="C1256" t="s">
        <v>315</v>
      </c>
      <c r="D1256" t="s">
        <v>667</v>
      </c>
      <c r="E1256" t="s">
        <v>478</v>
      </c>
      <c r="F1256" t="s">
        <v>668</v>
      </c>
      <c r="H1256" t="s">
        <v>215</v>
      </c>
      <c r="I1256" s="84">
        <v>45973</v>
      </c>
    </row>
    <row r="1257" spans="1:9" x14ac:dyDescent="0.25">
      <c r="A1257">
        <v>1257</v>
      </c>
      <c r="C1257" t="s">
        <v>678</v>
      </c>
      <c r="D1257" t="s">
        <v>679</v>
      </c>
      <c r="E1257" t="s">
        <v>323</v>
      </c>
      <c r="F1257" t="s">
        <v>680</v>
      </c>
      <c r="H1257" t="s">
        <v>215</v>
      </c>
      <c r="I1257" s="84">
        <v>46003</v>
      </c>
    </row>
    <row r="1258" spans="1:9" x14ac:dyDescent="0.25">
      <c r="A1258">
        <v>1258</v>
      </c>
      <c r="C1258" t="s">
        <v>678</v>
      </c>
      <c r="D1258" t="s">
        <v>679</v>
      </c>
      <c r="E1258" t="s">
        <v>330</v>
      </c>
      <c r="F1258" t="s">
        <v>681</v>
      </c>
      <c r="H1258" t="s">
        <v>215</v>
      </c>
      <c r="I1258" s="84">
        <v>46003</v>
      </c>
    </row>
    <row r="1259" spans="1:9" x14ac:dyDescent="0.25">
      <c r="A1259">
        <v>1259</v>
      </c>
      <c r="C1259" t="s">
        <v>682</v>
      </c>
      <c r="D1259" t="s">
        <v>683</v>
      </c>
      <c r="E1259" t="s">
        <v>478</v>
      </c>
      <c r="F1259" t="s">
        <v>569</v>
      </c>
      <c r="H1259" t="s">
        <v>215</v>
      </c>
      <c r="I1259" s="84">
        <v>46003</v>
      </c>
    </row>
    <row r="1260" spans="1:9" x14ac:dyDescent="0.25">
      <c r="A1260">
        <v>1260</v>
      </c>
      <c r="C1260" t="s">
        <v>684</v>
      </c>
      <c r="D1260" t="s">
        <v>685</v>
      </c>
      <c r="E1260" t="s">
        <v>422</v>
      </c>
      <c r="F1260" t="s">
        <v>686</v>
      </c>
      <c r="H1260" t="s">
        <v>215</v>
      </c>
      <c r="I1260" s="84">
        <v>46003</v>
      </c>
    </row>
    <row r="1261" spans="1:9" x14ac:dyDescent="0.25">
      <c r="A1261">
        <v>1261</v>
      </c>
      <c r="C1261" t="s">
        <v>687</v>
      </c>
      <c r="D1261" t="s">
        <v>688</v>
      </c>
      <c r="E1261" t="s">
        <v>478</v>
      </c>
      <c r="F1261" t="s">
        <v>689</v>
      </c>
      <c r="H1261" t="s">
        <v>215</v>
      </c>
      <c r="I1261" s="84">
        <v>46003</v>
      </c>
    </row>
    <row r="1262" spans="1:9" x14ac:dyDescent="0.25">
      <c r="A1262">
        <v>1262</v>
      </c>
      <c r="C1262" t="s">
        <v>690</v>
      </c>
      <c r="D1262" t="s">
        <v>691</v>
      </c>
      <c r="E1262" t="s">
        <v>629</v>
      </c>
      <c r="F1262" t="s">
        <v>692</v>
      </c>
      <c r="H1262" t="s">
        <v>215</v>
      </c>
      <c r="I1262" s="84">
        <v>46003</v>
      </c>
    </row>
    <row r="1263" spans="1:9" x14ac:dyDescent="0.25">
      <c r="A1263">
        <v>1263</v>
      </c>
      <c r="C1263" t="s">
        <v>693</v>
      </c>
      <c r="D1263" t="s">
        <v>694</v>
      </c>
      <c r="E1263" t="s">
        <v>629</v>
      </c>
      <c r="F1263" t="s">
        <v>695</v>
      </c>
      <c r="H1263" t="s">
        <v>215</v>
      </c>
      <c r="I1263" s="84">
        <v>46003</v>
      </c>
    </row>
    <row r="1264" spans="1:9" x14ac:dyDescent="0.25">
      <c r="A1264">
        <v>1264</v>
      </c>
      <c r="C1264" t="s">
        <v>696</v>
      </c>
      <c r="D1264" t="s">
        <v>697</v>
      </c>
      <c r="E1264" t="s">
        <v>629</v>
      </c>
      <c r="F1264" t="s">
        <v>698</v>
      </c>
      <c r="H1264" t="s">
        <v>215</v>
      </c>
      <c r="I1264" s="84">
        <v>46003</v>
      </c>
    </row>
    <row r="1265" spans="1:9" x14ac:dyDescent="0.25">
      <c r="A1265">
        <v>1265</v>
      </c>
      <c r="C1265" t="s">
        <v>699</v>
      </c>
      <c r="D1265" t="s">
        <v>700</v>
      </c>
      <c r="E1265" t="s">
        <v>629</v>
      </c>
      <c r="F1265" t="s">
        <v>701</v>
      </c>
      <c r="H1265" t="s">
        <v>215</v>
      </c>
      <c r="I1265" s="84">
        <v>46003</v>
      </c>
    </row>
    <row r="1266" spans="1:9" x14ac:dyDescent="0.25">
      <c r="A1266">
        <v>1266</v>
      </c>
      <c r="C1266" t="s">
        <v>627</v>
      </c>
      <c r="D1266" t="s">
        <v>628</v>
      </c>
      <c r="E1266" t="s">
        <v>629</v>
      </c>
      <c r="F1266" t="s">
        <v>630</v>
      </c>
      <c r="H1266" t="s">
        <v>709</v>
      </c>
    </row>
    <row r="1267" spans="1:9" x14ac:dyDescent="0.25">
      <c r="A1267">
        <v>1267</v>
      </c>
      <c r="C1267" t="s">
        <v>702</v>
      </c>
      <c r="D1267" t="s">
        <v>703</v>
      </c>
      <c r="E1267" t="s">
        <v>629</v>
      </c>
      <c r="F1267" t="s">
        <v>704</v>
      </c>
      <c r="H1267" t="s">
        <v>215</v>
      </c>
      <c r="I1267" s="84">
        <v>46003</v>
      </c>
    </row>
    <row r="1268" spans="1:9" x14ac:dyDescent="0.25">
      <c r="A1268">
        <v>1268</v>
      </c>
      <c r="C1268" t="s">
        <v>640</v>
      </c>
      <c r="D1268" t="s">
        <v>641</v>
      </c>
      <c r="E1268" t="s">
        <v>629</v>
      </c>
      <c r="F1268" t="s">
        <v>642</v>
      </c>
      <c r="H1268" t="s">
        <v>709</v>
      </c>
    </row>
    <row r="1269" spans="1:9" x14ac:dyDescent="0.25">
      <c r="A1269">
        <v>1269</v>
      </c>
      <c r="C1269" t="s">
        <v>307</v>
      </c>
      <c r="D1269" t="s">
        <v>643</v>
      </c>
      <c r="E1269" t="s">
        <v>629</v>
      </c>
      <c r="F1269" t="s">
        <v>426</v>
      </c>
      <c r="H1269" t="s">
        <v>118</v>
      </c>
    </row>
    <row r="1270" spans="1:9" x14ac:dyDescent="0.25">
      <c r="A1270">
        <v>1270</v>
      </c>
      <c r="C1270" t="s">
        <v>165</v>
      </c>
      <c r="D1270" t="s">
        <v>644</v>
      </c>
      <c r="E1270" t="s">
        <v>629</v>
      </c>
      <c r="F1270" t="s">
        <v>645</v>
      </c>
      <c r="H1270" t="s">
        <v>709</v>
      </c>
    </row>
    <row r="1271" spans="1:9" x14ac:dyDescent="0.25">
      <c r="A1271">
        <v>1271</v>
      </c>
      <c r="C1271" t="s">
        <v>652</v>
      </c>
      <c r="D1271" t="s">
        <v>653</v>
      </c>
      <c r="E1271" t="s">
        <v>629</v>
      </c>
      <c r="F1271" t="s">
        <v>654</v>
      </c>
      <c r="H1271" t="s">
        <v>709</v>
      </c>
    </row>
    <row r="1272" spans="1:9" x14ac:dyDescent="0.25">
      <c r="A1272">
        <v>1272</v>
      </c>
      <c r="C1272" t="s">
        <v>657</v>
      </c>
      <c r="D1272" t="s">
        <v>658</v>
      </c>
      <c r="E1272" t="s">
        <v>629</v>
      </c>
      <c r="F1272" t="s">
        <v>659</v>
      </c>
      <c r="H1272" t="s">
        <v>709</v>
      </c>
    </row>
    <row r="1273" spans="1:9" x14ac:dyDescent="0.25">
      <c r="A1273">
        <v>1273</v>
      </c>
      <c r="C1273" t="s">
        <v>660</v>
      </c>
      <c r="D1273" t="s">
        <v>661</v>
      </c>
      <c r="E1273" t="s">
        <v>629</v>
      </c>
      <c r="F1273" t="s">
        <v>662</v>
      </c>
      <c r="H1273" t="s">
        <v>709</v>
      </c>
    </row>
    <row r="1274" spans="1:9" x14ac:dyDescent="0.25">
      <c r="A1274">
        <v>1274</v>
      </c>
      <c r="C1274" t="s">
        <v>173</v>
      </c>
      <c r="D1274" t="s">
        <v>665</v>
      </c>
      <c r="E1274" t="s">
        <v>393</v>
      </c>
      <c r="F1274" t="s">
        <v>666</v>
      </c>
      <c r="H1274" t="s">
        <v>709</v>
      </c>
    </row>
    <row r="1275" spans="1:9" x14ac:dyDescent="0.25">
      <c r="A1275">
        <v>1275</v>
      </c>
      <c r="C1275" t="s">
        <v>315</v>
      </c>
      <c r="D1275" t="s">
        <v>667</v>
      </c>
      <c r="E1275" t="s">
        <v>478</v>
      </c>
      <c r="F1275" t="s">
        <v>668</v>
      </c>
      <c r="H1275" t="s">
        <v>709</v>
      </c>
    </row>
    <row r="1276" spans="1:9" x14ac:dyDescent="0.25">
      <c r="A1276">
        <v>1276</v>
      </c>
      <c r="C1276" t="s">
        <v>145</v>
      </c>
      <c r="D1276" t="s">
        <v>705</v>
      </c>
      <c r="E1276" t="s">
        <v>478</v>
      </c>
      <c r="F1276" t="s">
        <v>454</v>
      </c>
      <c r="H1276" t="s">
        <v>215</v>
      </c>
      <c r="I1276" s="84">
        <v>46003</v>
      </c>
    </row>
    <row r="1277" spans="1:9" x14ac:dyDescent="0.25">
      <c r="A1277">
        <v>1277</v>
      </c>
      <c r="C1277" t="s">
        <v>145</v>
      </c>
      <c r="D1277" t="s">
        <v>705</v>
      </c>
      <c r="E1277" t="s">
        <v>478</v>
      </c>
      <c r="F1277" t="s">
        <v>454</v>
      </c>
      <c r="H1277" t="s">
        <v>740</v>
      </c>
    </row>
    <row r="1278" spans="1:9" x14ac:dyDescent="0.25">
      <c r="A1278">
        <v>1278</v>
      </c>
      <c r="C1278" t="s">
        <v>710</v>
      </c>
      <c r="D1278" t="s">
        <v>711</v>
      </c>
      <c r="E1278" t="s">
        <v>478</v>
      </c>
      <c r="F1278" t="s">
        <v>712</v>
      </c>
      <c r="H1278" t="s">
        <v>215</v>
      </c>
      <c r="I1278" s="32" t="s">
        <v>741</v>
      </c>
    </row>
    <row r="1279" spans="1:9" x14ac:dyDescent="0.25">
      <c r="A1279">
        <v>1279</v>
      </c>
      <c r="C1279" t="s">
        <v>713</v>
      </c>
      <c r="D1279" t="s">
        <v>714</v>
      </c>
      <c r="E1279" t="s">
        <v>478</v>
      </c>
      <c r="F1279" t="s">
        <v>715</v>
      </c>
      <c r="H1279" t="s">
        <v>215</v>
      </c>
      <c r="I1279" s="32" t="s">
        <v>741</v>
      </c>
    </row>
    <row r="1280" spans="1:9" x14ac:dyDescent="0.25">
      <c r="A1280">
        <v>1280</v>
      </c>
      <c r="C1280" t="s">
        <v>716</v>
      </c>
      <c r="D1280" t="s">
        <v>717</v>
      </c>
      <c r="E1280" t="s">
        <v>629</v>
      </c>
      <c r="F1280" t="s">
        <v>718</v>
      </c>
      <c r="H1280" t="s">
        <v>215</v>
      </c>
      <c r="I1280" s="32" t="s">
        <v>741</v>
      </c>
    </row>
    <row r="1281" spans="1:9" x14ac:dyDescent="0.25">
      <c r="A1281">
        <v>1281</v>
      </c>
      <c r="C1281" t="s">
        <v>719</v>
      </c>
      <c r="D1281" t="s">
        <v>720</v>
      </c>
      <c r="E1281" t="s">
        <v>629</v>
      </c>
      <c r="F1281" t="s">
        <v>721</v>
      </c>
      <c r="H1281" t="s">
        <v>215</v>
      </c>
      <c r="I1281" s="32" t="s">
        <v>741</v>
      </c>
    </row>
    <row r="1282" spans="1:9" x14ac:dyDescent="0.25">
      <c r="A1282">
        <v>1282</v>
      </c>
      <c r="C1282" t="s">
        <v>722</v>
      </c>
      <c r="D1282" t="s">
        <v>723</v>
      </c>
      <c r="E1282" t="s">
        <v>629</v>
      </c>
      <c r="F1282" t="s">
        <v>724</v>
      </c>
      <c r="H1282" t="s">
        <v>215</v>
      </c>
      <c r="I1282" s="32" t="s">
        <v>741</v>
      </c>
    </row>
    <row r="1283" spans="1:9" x14ac:dyDescent="0.25">
      <c r="A1283">
        <v>1283</v>
      </c>
      <c r="C1283" t="s">
        <v>167</v>
      </c>
      <c r="D1283" t="s">
        <v>725</v>
      </c>
      <c r="E1283" t="s">
        <v>629</v>
      </c>
      <c r="F1283" t="s">
        <v>726</v>
      </c>
      <c r="H1283" t="s">
        <v>215</v>
      </c>
      <c r="I1283" s="32" t="s">
        <v>741</v>
      </c>
    </row>
    <row r="1284" spans="1:9" x14ac:dyDescent="0.25">
      <c r="A1284">
        <v>1284</v>
      </c>
      <c r="C1284" t="s">
        <v>727</v>
      </c>
      <c r="D1284" t="s">
        <v>728</v>
      </c>
      <c r="E1284" t="s">
        <v>629</v>
      </c>
      <c r="F1284" t="s">
        <v>729</v>
      </c>
      <c r="H1284" t="s">
        <v>215</v>
      </c>
      <c r="I1284" s="32" t="s">
        <v>741</v>
      </c>
    </row>
    <row r="1285" spans="1:9" x14ac:dyDescent="0.25">
      <c r="A1285">
        <v>1285</v>
      </c>
      <c r="C1285" t="s">
        <v>730</v>
      </c>
      <c r="D1285" t="s">
        <v>731</v>
      </c>
      <c r="E1285" t="s">
        <v>629</v>
      </c>
      <c r="F1285" t="s">
        <v>732</v>
      </c>
      <c r="H1285" t="s">
        <v>215</v>
      </c>
      <c r="I1285" s="32" t="s">
        <v>741</v>
      </c>
    </row>
    <row r="1286" spans="1:9" x14ac:dyDescent="0.25">
      <c r="C1286" t="s">
        <v>752</v>
      </c>
      <c r="D1286" t="s">
        <v>753</v>
      </c>
      <c r="E1286" t="s">
        <v>754</v>
      </c>
      <c r="F1286" t="s">
        <v>755</v>
      </c>
      <c r="H1286" t="s">
        <v>215</v>
      </c>
    </row>
    <row r="1287" spans="1:9" x14ac:dyDescent="0.25">
      <c r="C1287" t="s">
        <v>756</v>
      </c>
      <c r="D1287" t="s">
        <v>757</v>
      </c>
      <c r="E1287" t="s">
        <v>344</v>
      </c>
      <c r="F1287" t="s">
        <v>758</v>
      </c>
      <c r="H1287" t="s">
        <v>770</v>
      </c>
    </row>
    <row r="1288" spans="1:9" x14ac:dyDescent="0.25">
      <c r="C1288" t="s">
        <v>759</v>
      </c>
      <c r="D1288" t="s">
        <v>760</v>
      </c>
      <c r="E1288" t="s">
        <v>761</v>
      </c>
      <c r="F1288" t="s">
        <v>762</v>
      </c>
      <c r="H1288" t="s">
        <v>770</v>
      </c>
    </row>
    <row r="1289" spans="1:9" x14ac:dyDescent="0.25">
      <c r="C1289" t="s">
        <v>759</v>
      </c>
      <c r="D1289" t="s">
        <v>760</v>
      </c>
      <c r="E1289" t="s">
        <v>763</v>
      </c>
      <c r="F1289" t="s">
        <v>764</v>
      </c>
      <c r="H1289" t="s">
        <v>770</v>
      </c>
    </row>
    <row r="1290" spans="1:9" x14ac:dyDescent="0.25">
      <c r="C1290" t="s">
        <v>756</v>
      </c>
      <c r="D1290" t="s">
        <v>757</v>
      </c>
      <c r="E1290" t="s">
        <v>345</v>
      </c>
      <c r="F1290" t="s">
        <v>758</v>
      </c>
      <c r="H1290" t="s">
        <v>770</v>
      </c>
    </row>
    <row r="1291" spans="1:9" x14ac:dyDescent="0.25">
      <c r="C1291" t="s">
        <v>765</v>
      </c>
      <c r="D1291" t="s">
        <v>766</v>
      </c>
      <c r="E1291" t="s">
        <v>767</v>
      </c>
      <c r="F1291" t="s">
        <v>768</v>
      </c>
      <c r="H1291" t="s">
        <v>770</v>
      </c>
    </row>
    <row r="1292" spans="1:9" x14ac:dyDescent="0.25">
      <c r="C1292" t="s">
        <v>765</v>
      </c>
      <c r="D1292" t="s">
        <v>766</v>
      </c>
      <c r="E1292" t="s">
        <v>769</v>
      </c>
      <c r="F1292" t="s">
        <v>768</v>
      </c>
      <c r="H1292" t="s">
        <v>770</v>
      </c>
    </row>
    <row r="1293" spans="1:9" x14ac:dyDescent="0.25">
      <c r="C1293" t="s">
        <v>771</v>
      </c>
      <c r="D1293" t="s">
        <v>772</v>
      </c>
      <c r="E1293" t="s">
        <v>773</v>
      </c>
      <c r="F1293" t="s">
        <v>774</v>
      </c>
      <c r="H1293" t="s">
        <v>215</v>
      </c>
      <c r="I1293" t="s">
        <v>879</v>
      </c>
    </row>
    <row r="1294" spans="1:9" x14ac:dyDescent="0.25">
      <c r="C1294" t="s">
        <v>775</v>
      </c>
      <c r="D1294" t="s">
        <v>776</v>
      </c>
      <c r="E1294" t="s">
        <v>773</v>
      </c>
      <c r="F1294" t="s">
        <v>777</v>
      </c>
      <c r="H1294" t="s">
        <v>215</v>
      </c>
      <c r="I1294" t="s">
        <v>879</v>
      </c>
    </row>
    <row r="1295" spans="1:9" x14ac:dyDescent="0.25">
      <c r="C1295" t="s">
        <v>775</v>
      </c>
      <c r="D1295" t="s">
        <v>778</v>
      </c>
      <c r="E1295" t="s">
        <v>773</v>
      </c>
      <c r="F1295" t="s">
        <v>777</v>
      </c>
      <c r="H1295" t="s">
        <v>215</v>
      </c>
      <c r="I1295" t="s">
        <v>879</v>
      </c>
    </row>
    <row r="1296" spans="1:9" x14ac:dyDescent="0.25">
      <c r="C1296" t="s">
        <v>771</v>
      </c>
      <c r="D1296" t="s">
        <v>772</v>
      </c>
      <c r="E1296" t="s">
        <v>437</v>
      </c>
      <c r="F1296" t="s">
        <v>779</v>
      </c>
      <c r="H1296" t="s">
        <v>215</v>
      </c>
      <c r="I1296" t="s">
        <v>879</v>
      </c>
    </row>
    <row r="1297" spans="3:9" x14ac:dyDescent="0.25">
      <c r="C1297" t="s">
        <v>775</v>
      </c>
      <c r="D1297" t="s">
        <v>776</v>
      </c>
      <c r="E1297" t="s">
        <v>437</v>
      </c>
      <c r="F1297" t="s">
        <v>777</v>
      </c>
      <c r="H1297" t="s">
        <v>215</v>
      </c>
      <c r="I1297" t="s">
        <v>879</v>
      </c>
    </row>
    <row r="1298" spans="3:9" x14ac:dyDescent="0.25">
      <c r="C1298" t="s">
        <v>775</v>
      </c>
      <c r="D1298" t="s">
        <v>778</v>
      </c>
      <c r="E1298" t="s">
        <v>437</v>
      </c>
      <c r="F1298" t="s">
        <v>777</v>
      </c>
      <c r="H1298" t="s">
        <v>215</v>
      </c>
      <c r="I1298" t="s">
        <v>879</v>
      </c>
    </row>
    <row r="1299" spans="3:9" x14ac:dyDescent="0.25">
      <c r="C1299" t="s">
        <v>780</v>
      </c>
      <c r="D1299" t="s">
        <v>781</v>
      </c>
      <c r="E1299" t="s">
        <v>782</v>
      </c>
      <c r="F1299" t="s">
        <v>783</v>
      </c>
      <c r="H1299" t="s">
        <v>215</v>
      </c>
      <c r="I1299" t="s">
        <v>879</v>
      </c>
    </row>
    <row r="1300" spans="3:9" x14ac:dyDescent="0.25">
      <c r="C1300" t="s">
        <v>784</v>
      </c>
      <c r="D1300" t="s">
        <v>785</v>
      </c>
      <c r="E1300" t="s">
        <v>782</v>
      </c>
      <c r="F1300" t="s">
        <v>786</v>
      </c>
      <c r="H1300" t="s">
        <v>215</v>
      </c>
      <c r="I1300" t="s">
        <v>879</v>
      </c>
    </row>
    <row r="1301" spans="3:9" x14ac:dyDescent="0.25">
      <c r="C1301" t="s">
        <v>771</v>
      </c>
      <c r="D1301" t="s">
        <v>772</v>
      </c>
      <c r="E1301" t="s">
        <v>325</v>
      </c>
      <c r="F1301" t="s">
        <v>787</v>
      </c>
      <c r="H1301" t="s">
        <v>215</v>
      </c>
      <c r="I1301" t="s">
        <v>879</v>
      </c>
    </row>
    <row r="1302" spans="3:9" x14ac:dyDescent="0.25">
      <c r="C1302" t="s">
        <v>775</v>
      </c>
      <c r="D1302" t="s">
        <v>776</v>
      </c>
      <c r="E1302" t="s">
        <v>325</v>
      </c>
      <c r="F1302" t="s">
        <v>777</v>
      </c>
      <c r="H1302" t="s">
        <v>215</v>
      </c>
      <c r="I1302" t="s">
        <v>879</v>
      </c>
    </row>
    <row r="1303" spans="3:9" x14ac:dyDescent="0.25">
      <c r="C1303" t="s">
        <v>775</v>
      </c>
      <c r="D1303" t="s">
        <v>778</v>
      </c>
      <c r="E1303" t="s">
        <v>325</v>
      </c>
      <c r="F1303" t="s">
        <v>777</v>
      </c>
      <c r="H1303" t="s">
        <v>215</v>
      </c>
      <c r="I1303" t="s">
        <v>879</v>
      </c>
    </row>
    <row r="1304" spans="3:9" x14ac:dyDescent="0.25">
      <c r="C1304" t="s">
        <v>780</v>
      </c>
      <c r="D1304" t="s">
        <v>781</v>
      </c>
      <c r="E1304" t="s">
        <v>451</v>
      </c>
      <c r="F1304" t="s">
        <v>783</v>
      </c>
      <c r="H1304" t="s">
        <v>215</v>
      </c>
      <c r="I1304" t="s">
        <v>879</v>
      </c>
    </row>
    <row r="1305" spans="3:9" x14ac:dyDescent="0.25">
      <c r="C1305" t="s">
        <v>788</v>
      </c>
      <c r="D1305" t="s">
        <v>789</v>
      </c>
      <c r="E1305" t="s">
        <v>451</v>
      </c>
      <c r="F1305" t="s">
        <v>790</v>
      </c>
      <c r="H1305" t="s">
        <v>215</v>
      </c>
      <c r="I1305" t="s">
        <v>879</v>
      </c>
    </row>
    <row r="1306" spans="3:9" x14ac:dyDescent="0.25">
      <c r="C1306" t="s">
        <v>791</v>
      </c>
      <c r="D1306" t="s">
        <v>792</v>
      </c>
      <c r="E1306" t="s">
        <v>326</v>
      </c>
      <c r="F1306" t="s">
        <v>793</v>
      </c>
      <c r="H1306" t="s">
        <v>215</v>
      </c>
      <c r="I1306" t="s">
        <v>879</v>
      </c>
    </row>
    <row r="1307" spans="3:9" x14ac:dyDescent="0.25">
      <c r="C1307" t="s">
        <v>791</v>
      </c>
      <c r="D1307" t="s">
        <v>794</v>
      </c>
      <c r="E1307" t="s">
        <v>326</v>
      </c>
      <c r="F1307" t="s">
        <v>421</v>
      </c>
      <c r="H1307" t="s">
        <v>215</v>
      </c>
      <c r="I1307" t="s">
        <v>879</v>
      </c>
    </row>
    <row r="1308" spans="3:9" x14ac:dyDescent="0.25">
      <c r="C1308" t="s">
        <v>771</v>
      </c>
      <c r="D1308" t="s">
        <v>772</v>
      </c>
      <c r="E1308" t="s">
        <v>327</v>
      </c>
      <c r="F1308" t="s">
        <v>795</v>
      </c>
      <c r="H1308" t="s">
        <v>215</v>
      </c>
      <c r="I1308" t="s">
        <v>879</v>
      </c>
    </row>
    <row r="1309" spans="3:9" x14ac:dyDescent="0.25">
      <c r="C1309" t="s">
        <v>775</v>
      </c>
      <c r="D1309" t="s">
        <v>776</v>
      </c>
      <c r="E1309" t="s">
        <v>327</v>
      </c>
      <c r="F1309" t="s">
        <v>796</v>
      </c>
      <c r="H1309" t="s">
        <v>215</v>
      </c>
      <c r="I1309" t="s">
        <v>879</v>
      </c>
    </row>
    <row r="1310" spans="3:9" x14ac:dyDescent="0.25">
      <c r="C1310" t="s">
        <v>775</v>
      </c>
      <c r="D1310" t="s">
        <v>778</v>
      </c>
      <c r="E1310" t="s">
        <v>327</v>
      </c>
      <c r="F1310" t="s">
        <v>796</v>
      </c>
      <c r="H1310" t="s">
        <v>215</v>
      </c>
      <c r="I1310" t="s">
        <v>879</v>
      </c>
    </row>
    <row r="1311" spans="3:9" x14ac:dyDescent="0.25">
      <c r="C1311" t="s">
        <v>784</v>
      </c>
      <c r="D1311" t="s">
        <v>785</v>
      </c>
      <c r="E1311" t="s">
        <v>455</v>
      </c>
      <c r="F1311" t="s">
        <v>786</v>
      </c>
      <c r="H1311" t="s">
        <v>215</v>
      </c>
      <c r="I1311" t="s">
        <v>879</v>
      </c>
    </row>
    <row r="1312" spans="3:9" x14ac:dyDescent="0.25">
      <c r="C1312" t="s">
        <v>788</v>
      </c>
      <c r="D1312" t="s">
        <v>789</v>
      </c>
      <c r="E1312" t="s">
        <v>455</v>
      </c>
      <c r="F1312" t="s">
        <v>797</v>
      </c>
      <c r="H1312" t="s">
        <v>215</v>
      </c>
      <c r="I1312" t="s">
        <v>879</v>
      </c>
    </row>
    <row r="1313" spans="3:9" x14ac:dyDescent="0.25">
      <c r="C1313" t="s">
        <v>791</v>
      </c>
      <c r="D1313" t="s">
        <v>792</v>
      </c>
      <c r="E1313" t="s">
        <v>328</v>
      </c>
      <c r="F1313" t="s">
        <v>793</v>
      </c>
      <c r="H1313" t="s">
        <v>215</v>
      </c>
      <c r="I1313" t="s">
        <v>879</v>
      </c>
    </row>
    <row r="1314" spans="3:9" x14ac:dyDescent="0.25">
      <c r="C1314" t="s">
        <v>791</v>
      </c>
      <c r="D1314" t="s">
        <v>794</v>
      </c>
      <c r="E1314" t="s">
        <v>328</v>
      </c>
      <c r="F1314" t="s">
        <v>421</v>
      </c>
      <c r="H1314" t="s">
        <v>215</v>
      </c>
      <c r="I1314" t="s">
        <v>879</v>
      </c>
    </row>
    <row r="1315" spans="3:9" x14ac:dyDescent="0.25">
      <c r="C1315" t="s">
        <v>798</v>
      </c>
      <c r="D1315" t="s">
        <v>799</v>
      </c>
      <c r="E1315" t="s">
        <v>330</v>
      </c>
      <c r="F1315" t="s">
        <v>800</v>
      </c>
      <c r="H1315" t="s">
        <v>215</v>
      </c>
      <c r="I1315" t="s">
        <v>879</v>
      </c>
    </row>
    <row r="1316" spans="3:9" x14ac:dyDescent="0.25">
      <c r="C1316" t="s">
        <v>788</v>
      </c>
      <c r="D1316" t="s">
        <v>789</v>
      </c>
      <c r="E1316" t="s">
        <v>329</v>
      </c>
      <c r="F1316" t="s">
        <v>801</v>
      </c>
      <c r="H1316" t="s">
        <v>215</v>
      </c>
      <c r="I1316" t="s">
        <v>879</v>
      </c>
    </row>
    <row r="1317" spans="3:9" x14ac:dyDescent="0.25">
      <c r="C1317" t="s">
        <v>775</v>
      </c>
      <c r="D1317" t="s">
        <v>778</v>
      </c>
      <c r="E1317" t="s">
        <v>332</v>
      </c>
      <c r="F1317" t="s">
        <v>796</v>
      </c>
      <c r="H1317" t="s">
        <v>215</v>
      </c>
      <c r="I1317" t="s">
        <v>879</v>
      </c>
    </row>
    <row r="1318" spans="3:9" x14ac:dyDescent="0.25">
      <c r="C1318" t="s">
        <v>775</v>
      </c>
      <c r="D1318" t="s">
        <v>776</v>
      </c>
      <c r="E1318" t="s">
        <v>332</v>
      </c>
      <c r="F1318" t="s">
        <v>796</v>
      </c>
      <c r="H1318" t="s">
        <v>215</v>
      </c>
      <c r="I1318" t="s">
        <v>879</v>
      </c>
    </row>
    <row r="1319" spans="3:9" x14ac:dyDescent="0.25">
      <c r="C1319" t="s">
        <v>771</v>
      </c>
      <c r="D1319" t="s">
        <v>772</v>
      </c>
      <c r="E1319" t="s">
        <v>332</v>
      </c>
      <c r="F1319" t="s">
        <v>795</v>
      </c>
      <c r="H1319" t="s">
        <v>215</v>
      </c>
      <c r="I1319" t="s">
        <v>879</v>
      </c>
    </row>
    <row r="1320" spans="3:9" x14ac:dyDescent="0.25">
      <c r="C1320" t="s">
        <v>784</v>
      </c>
      <c r="D1320" t="s">
        <v>785</v>
      </c>
      <c r="E1320" t="s">
        <v>329</v>
      </c>
      <c r="F1320" t="s">
        <v>786</v>
      </c>
      <c r="H1320" t="s">
        <v>215</v>
      </c>
      <c r="I1320" t="s">
        <v>879</v>
      </c>
    </row>
    <row r="1321" spans="3:9" x14ac:dyDescent="0.25">
      <c r="C1321" t="s">
        <v>802</v>
      </c>
      <c r="D1321" t="s">
        <v>803</v>
      </c>
      <c r="E1321" t="s">
        <v>393</v>
      </c>
      <c r="F1321" t="s">
        <v>411</v>
      </c>
      <c r="H1321" t="s">
        <v>118</v>
      </c>
      <c r="I1321"/>
    </row>
    <row r="1322" spans="3:9" x14ac:dyDescent="0.25">
      <c r="C1322" t="s">
        <v>804</v>
      </c>
      <c r="D1322" t="s">
        <v>805</v>
      </c>
      <c r="E1322" t="s">
        <v>422</v>
      </c>
      <c r="F1322" t="s">
        <v>419</v>
      </c>
      <c r="H1322" t="s">
        <v>215</v>
      </c>
      <c r="I1322" t="s">
        <v>879</v>
      </c>
    </row>
    <row r="1323" spans="3:9" x14ac:dyDescent="0.25">
      <c r="C1323" t="s">
        <v>806</v>
      </c>
      <c r="D1323" t="s">
        <v>807</v>
      </c>
      <c r="E1323" t="s">
        <v>629</v>
      </c>
      <c r="F1323" t="s">
        <v>712</v>
      </c>
      <c r="H1323" t="s">
        <v>118</v>
      </c>
      <c r="I1323"/>
    </row>
    <row r="1324" spans="3:9" x14ac:dyDescent="0.25">
      <c r="C1324" t="s">
        <v>808</v>
      </c>
      <c r="D1324" t="s">
        <v>809</v>
      </c>
      <c r="E1324" t="s">
        <v>629</v>
      </c>
      <c r="F1324" t="s">
        <v>442</v>
      </c>
      <c r="H1324" t="s">
        <v>215</v>
      </c>
      <c r="I1324" t="s">
        <v>879</v>
      </c>
    </row>
    <row r="1325" spans="3:9" x14ac:dyDescent="0.25">
      <c r="C1325" t="s">
        <v>810</v>
      </c>
      <c r="D1325" t="s">
        <v>811</v>
      </c>
      <c r="E1325" t="s">
        <v>629</v>
      </c>
      <c r="F1325" t="s">
        <v>701</v>
      </c>
      <c r="H1325" t="s">
        <v>215</v>
      </c>
      <c r="I1325" t="s">
        <v>879</v>
      </c>
    </row>
    <row r="1326" spans="3:9" x14ac:dyDescent="0.25">
      <c r="C1326" t="s">
        <v>812</v>
      </c>
      <c r="D1326" t="s">
        <v>813</v>
      </c>
      <c r="E1326" t="s">
        <v>629</v>
      </c>
      <c r="F1326" t="s">
        <v>814</v>
      </c>
      <c r="H1326" t="s">
        <v>215</v>
      </c>
      <c r="I1326" t="s">
        <v>879</v>
      </c>
    </row>
    <row r="1327" spans="3:9" x14ac:dyDescent="0.25">
      <c r="C1327" t="s">
        <v>815</v>
      </c>
      <c r="D1327" t="s">
        <v>816</v>
      </c>
      <c r="E1327" t="s">
        <v>629</v>
      </c>
      <c r="F1327" t="s">
        <v>411</v>
      </c>
      <c r="H1327" t="s">
        <v>215</v>
      </c>
      <c r="I1327" t="s">
        <v>879</v>
      </c>
    </row>
    <row r="1328" spans="3:9" x14ac:dyDescent="0.25">
      <c r="C1328" t="s">
        <v>817</v>
      </c>
      <c r="D1328" t="s">
        <v>818</v>
      </c>
      <c r="E1328" t="s">
        <v>212</v>
      </c>
      <c r="F1328" t="s">
        <v>819</v>
      </c>
      <c r="H1328" t="s">
        <v>215</v>
      </c>
      <c r="I1328" t="s">
        <v>879</v>
      </c>
    </row>
    <row r="1329" spans="3:9" x14ac:dyDescent="0.25">
      <c r="C1329" t="s">
        <v>820</v>
      </c>
      <c r="D1329" t="s">
        <v>821</v>
      </c>
      <c r="E1329" t="s">
        <v>822</v>
      </c>
      <c r="F1329" t="s">
        <v>823</v>
      </c>
      <c r="H1329" t="s">
        <v>215</v>
      </c>
      <c r="I1329" t="s">
        <v>879</v>
      </c>
    </row>
    <row r="1330" spans="3:9" x14ac:dyDescent="0.25">
      <c r="C1330" t="s">
        <v>824</v>
      </c>
      <c r="D1330" t="s">
        <v>825</v>
      </c>
      <c r="E1330" t="s">
        <v>212</v>
      </c>
      <c r="F1330" t="s">
        <v>826</v>
      </c>
      <c r="H1330" t="s">
        <v>215</v>
      </c>
      <c r="I1330" t="s">
        <v>879</v>
      </c>
    </row>
    <row r="1331" spans="3:9" x14ac:dyDescent="0.25">
      <c r="C1331" t="s">
        <v>418</v>
      </c>
      <c r="D1331" t="s">
        <v>827</v>
      </c>
      <c r="E1331" t="s">
        <v>212</v>
      </c>
      <c r="F1331" t="s">
        <v>419</v>
      </c>
      <c r="H1331" t="s">
        <v>215</v>
      </c>
      <c r="I1331" t="s">
        <v>879</v>
      </c>
    </row>
    <row r="1332" spans="3:9" x14ac:dyDescent="0.25">
      <c r="C1332" t="s">
        <v>828</v>
      </c>
      <c r="D1332" t="s">
        <v>829</v>
      </c>
      <c r="E1332" t="s">
        <v>212</v>
      </c>
      <c r="F1332" t="s">
        <v>830</v>
      </c>
      <c r="H1332" t="s">
        <v>215</v>
      </c>
      <c r="I1332" t="s">
        <v>879</v>
      </c>
    </row>
    <row r="1333" spans="3:9" x14ac:dyDescent="0.25">
      <c r="C1333" t="s">
        <v>831</v>
      </c>
      <c r="D1333" t="s">
        <v>832</v>
      </c>
      <c r="E1333" t="s">
        <v>629</v>
      </c>
      <c r="F1333" t="s">
        <v>833</v>
      </c>
      <c r="H1333" t="s">
        <v>215</v>
      </c>
      <c r="I1333" t="s">
        <v>879</v>
      </c>
    </row>
    <row r="1334" spans="3:9" x14ac:dyDescent="0.25">
      <c r="C1334" t="s">
        <v>831</v>
      </c>
      <c r="D1334" t="s">
        <v>834</v>
      </c>
      <c r="E1334" t="s">
        <v>629</v>
      </c>
      <c r="F1334" t="s">
        <v>835</v>
      </c>
      <c r="H1334" t="s">
        <v>215</v>
      </c>
      <c r="I1334" t="s">
        <v>879</v>
      </c>
    </row>
    <row r="1335" spans="3:9" x14ac:dyDescent="0.25">
      <c r="C1335" t="s">
        <v>836</v>
      </c>
      <c r="D1335" t="s">
        <v>837</v>
      </c>
      <c r="E1335" t="s">
        <v>212</v>
      </c>
      <c r="F1335" t="s">
        <v>547</v>
      </c>
      <c r="H1335" t="s">
        <v>118</v>
      </c>
      <c r="I1335"/>
    </row>
    <row r="1336" spans="3:9" x14ac:dyDescent="0.25">
      <c r="C1336" t="s">
        <v>838</v>
      </c>
      <c r="D1336" t="s">
        <v>839</v>
      </c>
      <c r="E1336" t="s">
        <v>212</v>
      </c>
      <c r="F1336" t="s">
        <v>840</v>
      </c>
      <c r="H1336" t="s">
        <v>215</v>
      </c>
      <c r="I1336" t="s">
        <v>879</v>
      </c>
    </row>
    <row r="1337" spans="3:9" x14ac:dyDescent="0.25">
      <c r="C1337" t="s">
        <v>841</v>
      </c>
      <c r="D1337" t="s">
        <v>842</v>
      </c>
      <c r="E1337" t="s">
        <v>212</v>
      </c>
      <c r="F1337" t="s">
        <v>843</v>
      </c>
      <c r="H1337" t="s">
        <v>215</v>
      </c>
      <c r="I1337" t="s">
        <v>879</v>
      </c>
    </row>
    <row r="1338" spans="3:9" x14ac:dyDescent="0.25">
      <c r="C1338" t="s">
        <v>844</v>
      </c>
      <c r="D1338" t="s">
        <v>845</v>
      </c>
      <c r="E1338" t="s">
        <v>212</v>
      </c>
      <c r="F1338" t="s">
        <v>846</v>
      </c>
      <c r="H1338" t="s">
        <v>215</v>
      </c>
      <c r="I1338" t="s">
        <v>879</v>
      </c>
    </row>
    <row r="1339" spans="3:9" x14ac:dyDescent="0.25">
      <c r="C1339" t="s">
        <v>312</v>
      </c>
      <c r="D1339" t="s">
        <v>847</v>
      </c>
      <c r="E1339" t="s">
        <v>478</v>
      </c>
      <c r="F1339" t="s">
        <v>848</v>
      </c>
      <c r="H1339" t="s">
        <v>215</v>
      </c>
      <c r="I1339" t="s">
        <v>879</v>
      </c>
    </row>
    <row r="1340" spans="3:9" x14ac:dyDescent="0.25">
      <c r="C1340" t="s">
        <v>312</v>
      </c>
      <c r="D1340" t="s">
        <v>849</v>
      </c>
      <c r="E1340" t="s">
        <v>478</v>
      </c>
      <c r="F1340" t="s">
        <v>850</v>
      </c>
      <c r="H1340" t="s">
        <v>118</v>
      </c>
      <c r="I1340"/>
    </row>
    <row r="1341" spans="3:9" x14ac:dyDescent="0.25">
      <c r="C1341" t="s">
        <v>851</v>
      </c>
      <c r="D1341" t="s">
        <v>852</v>
      </c>
      <c r="E1341" t="s">
        <v>212</v>
      </c>
      <c r="F1341" t="s">
        <v>853</v>
      </c>
      <c r="H1341" t="s">
        <v>118</v>
      </c>
      <c r="I1341"/>
    </row>
    <row r="1342" spans="3:9" x14ac:dyDescent="0.25">
      <c r="C1342" t="s">
        <v>854</v>
      </c>
      <c r="D1342" t="s">
        <v>855</v>
      </c>
      <c r="E1342" t="s">
        <v>212</v>
      </c>
      <c r="F1342" t="s">
        <v>856</v>
      </c>
      <c r="H1342" t="s">
        <v>215</v>
      </c>
      <c r="I1342" t="s">
        <v>879</v>
      </c>
    </row>
    <row r="1343" spans="3:9" x14ac:dyDescent="0.25">
      <c r="C1343" t="s">
        <v>857</v>
      </c>
      <c r="D1343" t="s">
        <v>858</v>
      </c>
      <c r="E1343" t="s">
        <v>212</v>
      </c>
      <c r="F1343" t="s">
        <v>859</v>
      </c>
      <c r="H1343" t="s">
        <v>215</v>
      </c>
      <c r="I1343" t="s">
        <v>879</v>
      </c>
    </row>
    <row r="1344" spans="3:9" x14ac:dyDescent="0.25">
      <c r="C1344" t="s">
        <v>860</v>
      </c>
      <c r="D1344" t="s">
        <v>861</v>
      </c>
      <c r="E1344" t="s">
        <v>212</v>
      </c>
      <c r="F1344" t="s">
        <v>862</v>
      </c>
      <c r="H1344" t="s">
        <v>215</v>
      </c>
      <c r="I1344" t="s">
        <v>879</v>
      </c>
    </row>
    <row r="1345" spans="3:9" x14ac:dyDescent="0.25">
      <c r="C1345" t="s">
        <v>863</v>
      </c>
      <c r="D1345" t="s">
        <v>864</v>
      </c>
      <c r="E1345" t="s">
        <v>629</v>
      </c>
      <c r="F1345" t="s">
        <v>491</v>
      </c>
      <c r="H1345" t="s">
        <v>215</v>
      </c>
      <c r="I1345" t="s">
        <v>879</v>
      </c>
    </row>
    <row r="1346" spans="3:9" x14ac:dyDescent="0.25">
      <c r="C1346" t="s">
        <v>865</v>
      </c>
      <c r="D1346" t="s">
        <v>866</v>
      </c>
      <c r="E1346" t="s">
        <v>212</v>
      </c>
      <c r="F1346" t="s">
        <v>867</v>
      </c>
      <c r="H1346" t="s">
        <v>215</v>
      </c>
      <c r="I1346" t="s">
        <v>879</v>
      </c>
    </row>
    <row r="1347" spans="3:9" x14ac:dyDescent="0.25">
      <c r="C1347" t="s">
        <v>868</v>
      </c>
      <c r="D1347" t="s">
        <v>869</v>
      </c>
      <c r="E1347" t="s">
        <v>212</v>
      </c>
      <c r="F1347" t="s">
        <v>454</v>
      </c>
      <c r="H1347" t="s">
        <v>215</v>
      </c>
      <c r="I1347" t="s">
        <v>879</v>
      </c>
    </row>
    <row r="1348" spans="3:9" x14ac:dyDescent="0.25">
      <c r="C1348" t="s">
        <v>870</v>
      </c>
      <c r="D1348" t="s">
        <v>871</v>
      </c>
      <c r="E1348" t="s">
        <v>212</v>
      </c>
      <c r="F1348" t="s">
        <v>626</v>
      </c>
      <c r="H1348" t="s">
        <v>215</v>
      </c>
      <c r="I1348" t="s">
        <v>879</v>
      </c>
    </row>
    <row r="1349" spans="3:9" x14ac:dyDescent="0.25">
      <c r="C1349" t="s">
        <v>872</v>
      </c>
      <c r="D1349" t="s">
        <v>873</v>
      </c>
      <c r="E1349" t="s">
        <v>212</v>
      </c>
      <c r="F1349" t="s">
        <v>874</v>
      </c>
      <c r="H1349" t="s">
        <v>215</v>
      </c>
      <c r="I1349" t="s">
        <v>879</v>
      </c>
    </row>
    <row r="1350" spans="3:9" x14ac:dyDescent="0.25">
      <c r="C1350" t="s">
        <v>817</v>
      </c>
      <c r="D1350" t="s">
        <v>875</v>
      </c>
      <c r="E1350" t="s">
        <v>212</v>
      </c>
      <c r="F1350" t="s">
        <v>569</v>
      </c>
      <c r="H1350" t="s">
        <v>215</v>
      </c>
      <c r="I1350" t="s">
        <v>879</v>
      </c>
    </row>
    <row r="1351" spans="3:9" x14ac:dyDescent="0.25">
      <c r="C1351" t="s">
        <v>876</v>
      </c>
      <c r="D1351" t="s">
        <v>877</v>
      </c>
      <c r="E1351" t="s">
        <v>212</v>
      </c>
      <c r="F1351" t="s">
        <v>878</v>
      </c>
      <c r="H1351" t="s">
        <v>215</v>
      </c>
      <c r="I1351" t="s">
        <v>879</v>
      </c>
    </row>
    <row r="1352" spans="3:9" x14ac:dyDescent="0.25">
      <c r="C1352" t="s">
        <v>901</v>
      </c>
      <c r="D1352" t="s">
        <v>900</v>
      </c>
      <c r="E1352" t="s">
        <v>212</v>
      </c>
      <c r="F1352" t="s">
        <v>899</v>
      </c>
      <c r="G1352" t="s">
        <v>892</v>
      </c>
      <c r="H1352" t="s">
        <v>215</v>
      </c>
      <c r="I1352" t="s">
        <v>908</v>
      </c>
    </row>
    <row r="1353" spans="3:9" x14ac:dyDescent="0.25">
      <c r="C1353" t="s">
        <v>898</v>
      </c>
      <c r="D1353" t="s">
        <v>897</v>
      </c>
      <c r="E1353" t="s">
        <v>212</v>
      </c>
      <c r="F1353" t="s">
        <v>896</v>
      </c>
      <c r="G1353" t="s">
        <v>892</v>
      </c>
      <c r="H1353" t="s">
        <v>215</v>
      </c>
      <c r="I1353" t="s">
        <v>908</v>
      </c>
    </row>
    <row r="1354" spans="3:9" x14ac:dyDescent="0.25">
      <c r="C1354" t="s">
        <v>500</v>
      </c>
      <c r="D1354" t="s">
        <v>501</v>
      </c>
      <c r="E1354" t="s">
        <v>212</v>
      </c>
      <c r="F1354" t="s">
        <v>502</v>
      </c>
      <c r="G1354" t="s">
        <v>892</v>
      </c>
      <c r="H1354" t="s">
        <v>215</v>
      </c>
      <c r="I1354" t="s">
        <v>908</v>
      </c>
    </row>
    <row r="1355" spans="3:9" x14ac:dyDescent="0.25">
      <c r="C1355" t="s">
        <v>895</v>
      </c>
      <c r="D1355" t="s">
        <v>894</v>
      </c>
      <c r="E1355" t="s">
        <v>212</v>
      </c>
      <c r="F1355" t="s">
        <v>893</v>
      </c>
      <c r="G1355" t="s">
        <v>892</v>
      </c>
      <c r="H1355" t="s">
        <v>215</v>
      </c>
      <c r="I1355" t="s">
        <v>908</v>
      </c>
    </row>
  </sheetData>
  <autoFilter ref="A1:J1190" xr:uid="{85985348-9E6D-4BBF-A643-9D20568E819C}"/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B7F4-5632-43CD-A5E2-936D27BB483A}">
  <dimension ref="A1:J60"/>
  <sheetViews>
    <sheetView tabSelected="1" workbookViewId="0">
      <selection activeCell="E29" sqref="E29"/>
    </sheetView>
  </sheetViews>
  <sheetFormatPr defaultRowHeight="15" x14ac:dyDescent="0.25"/>
  <cols>
    <col min="2" max="2" width="17.85546875" bestFit="1" customWidth="1"/>
    <col min="3" max="3" width="12" bestFit="1" customWidth="1"/>
    <col min="4" max="4" width="10.85546875" bestFit="1" customWidth="1"/>
    <col min="5" max="5" width="22.5703125" bestFit="1" customWidth="1"/>
    <col min="7" max="7" width="15.7109375" bestFit="1" customWidth="1"/>
    <col min="8" max="8" width="34.140625" bestFit="1" customWidth="1"/>
    <col min="9" max="9" width="18.5703125" bestFit="1" customWidth="1"/>
    <col min="10" max="10" width="28.140625" bestFit="1" customWidth="1"/>
  </cols>
  <sheetData>
    <row r="1" spans="1:10" x14ac:dyDescent="0.25">
      <c r="A1" t="s">
        <v>119</v>
      </c>
      <c r="B1" s="1" t="s">
        <v>0</v>
      </c>
      <c r="C1" s="53" t="s">
        <v>280</v>
      </c>
      <c r="D1" s="42" t="s">
        <v>1</v>
      </c>
      <c r="E1" s="53" t="s">
        <v>2</v>
      </c>
      <c r="F1" s="54" t="s">
        <v>3</v>
      </c>
      <c r="G1" s="2" t="s">
        <v>318</v>
      </c>
      <c r="H1" s="14" t="s">
        <v>117</v>
      </c>
      <c r="I1" s="82" t="s">
        <v>461</v>
      </c>
      <c r="J1" s="14" t="s">
        <v>120</v>
      </c>
    </row>
    <row r="2" spans="1:10" x14ac:dyDescent="0.25">
      <c r="A2">
        <v>2</v>
      </c>
      <c r="C2" t="s">
        <v>910</v>
      </c>
      <c r="D2" t="s">
        <v>911</v>
      </c>
      <c r="E2" t="s">
        <v>329</v>
      </c>
      <c r="F2" t="s">
        <v>912</v>
      </c>
    </row>
    <row r="3" spans="1:10" x14ac:dyDescent="0.25">
      <c r="A3">
        <v>3</v>
      </c>
      <c r="C3" t="s">
        <v>913</v>
      </c>
      <c r="D3" t="s">
        <v>914</v>
      </c>
      <c r="E3" t="s">
        <v>629</v>
      </c>
      <c r="F3" t="s">
        <v>915</v>
      </c>
      <c r="H3" t="s">
        <v>215</v>
      </c>
      <c r="I3" t="s">
        <v>949</v>
      </c>
    </row>
    <row r="4" spans="1:10" x14ac:dyDescent="0.25">
      <c r="A4">
        <v>4</v>
      </c>
      <c r="C4" t="s">
        <v>916</v>
      </c>
      <c r="D4" t="s">
        <v>917</v>
      </c>
      <c r="E4" t="s">
        <v>212</v>
      </c>
      <c r="F4" t="s">
        <v>426</v>
      </c>
      <c r="H4" t="s">
        <v>215</v>
      </c>
      <c r="I4" t="s">
        <v>949</v>
      </c>
    </row>
    <row r="5" spans="1:10" x14ac:dyDescent="0.25">
      <c r="A5">
        <v>5</v>
      </c>
      <c r="C5" t="s">
        <v>918</v>
      </c>
      <c r="D5" t="s">
        <v>919</v>
      </c>
      <c r="E5" t="s">
        <v>212</v>
      </c>
      <c r="F5" t="s">
        <v>920</v>
      </c>
      <c r="H5" t="s">
        <v>215</v>
      </c>
      <c r="I5" t="s">
        <v>949</v>
      </c>
    </row>
    <row r="6" spans="1:10" x14ac:dyDescent="0.25">
      <c r="A6">
        <v>6</v>
      </c>
      <c r="C6" t="s">
        <v>497</v>
      </c>
      <c r="D6" t="s">
        <v>498</v>
      </c>
      <c r="E6" t="s">
        <v>212</v>
      </c>
      <c r="F6" t="s">
        <v>615</v>
      </c>
      <c r="H6" t="s">
        <v>215</v>
      </c>
      <c r="I6" t="s">
        <v>949</v>
      </c>
    </row>
    <row r="7" spans="1:10" x14ac:dyDescent="0.25">
      <c r="A7">
        <v>7</v>
      </c>
      <c r="C7" t="s">
        <v>921</v>
      </c>
      <c r="D7" t="s">
        <v>922</v>
      </c>
      <c r="E7" t="s">
        <v>212</v>
      </c>
      <c r="F7" t="s">
        <v>923</v>
      </c>
      <c r="H7" t="s">
        <v>215</v>
      </c>
      <c r="I7" t="s">
        <v>949</v>
      </c>
    </row>
    <row r="8" spans="1:10" x14ac:dyDescent="0.25">
      <c r="A8">
        <v>8</v>
      </c>
      <c r="C8" t="s">
        <v>924</v>
      </c>
      <c r="D8" t="s">
        <v>925</v>
      </c>
      <c r="E8" t="s">
        <v>212</v>
      </c>
      <c r="F8" t="s">
        <v>721</v>
      </c>
      <c r="H8" t="s">
        <v>215</v>
      </c>
      <c r="I8" t="s">
        <v>949</v>
      </c>
    </row>
    <row r="9" spans="1:10" x14ac:dyDescent="0.25">
      <c r="A9">
        <v>9</v>
      </c>
      <c r="C9" t="s">
        <v>926</v>
      </c>
      <c r="D9" t="s">
        <v>927</v>
      </c>
      <c r="E9" t="s">
        <v>212</v>
      </c>
      <c r="F9" t="s">
        <v>419</v>
      </c>
      <c r="H9" t="s">
        <v>215</v>
      </c>
      <c r="I9" t="s">
        <v>949</v>
      </c>
    </row>
    <row r="10" spans="1:10" x14ac:dyDescent="0.25">
      <c r="A10">
        <v>10</v>
      </c>
      <c r="C10" t="s">
        <v>928</v>
      </c>
      <c r="D10" t="s">
        <v>929</v>
      </c>
      <c r="E10" t="s">
        <v>212</v>
      </c>
      <c r="F10" t="s">
        <v>930</v>
      </c>
      <c r="H10" t="s">
        <v>215</v>
      </c>
      <c r="I10" t="s">
        <v>949</v>
      </c>
    </row>
    <row r="11" spans="1:10" x14ac:dyDescent="0.25">
      <c r="A11">
        <v>11</v>
      </c>
      <c r="C11" t="s">
        <v>931</v>
      </c>
      <c r="D11" t="s">
        <v>932</v>
      </c>
      <c r="E11" t="s">
        <v>212</v>
      </c>
      <c r="F11" t="s">
        <v>933</v>
      </c>
      <c r="H11" t="s">
        <v>215</v>
      </c>
      <c r="I11" t="s">
        <v>949</v>
      </c>
    </row>
    <row r="12" spans="1:10" x14ac:dyDescent="0.25">
      <c r="A12">
        <v>12</v>
      </c>
      <c r="C12" t="s">
        <v>934</v>
      </c>
      <c r="D12" t="s">
        <v>935</v>
      </c>
      <c r="E12" t="s">
        <v>213</v>
      </c>
      <c r="F12" t="s">
        <v>936</v>
      </c>
      <c r="H12" t="s">
        <v>215</v>
      </c>
      <c r="I12" t="s">
        <v>949</v>
      </c>
    </row>
    <row r="13" spans="1:10" x14ac:dyDescent="0.25">
      <c r="A13">
        <v>13</v>
      </c>
      <c r="C13" t="s">
        <v>564</v>
      </c>
      <c r="D13" t="s">
        <v>565</v>
      </c>
      <c r="E13" t="s">
        <v>213</v>
      </c>
      <c r="F13" t="s">
        <v>566</v>
      </c>
      <c r="H13" t="s">
        <v>215</v>
      </c>
      <c r="I13" t="s">
        <v>949</v>
      </c>
    </row>
    <row r="14" spans="1:10" x14ac:dyDescent="0.25">
      <c r="A14">
        <v>14</v>
      </c>
      <c r="C14" t="s">
        <v>937</v>
      </c>
      <c r="D14" t="s">
        <v>938</v>
      </c>
      <c r="E14" t="s">
        <v>213</v>
      </c>
      <c r="F14" t="s">
        <v>939</v>
      </c>
      <c r="H14" t="s">
        <v>215</v>
      </c>
      <c r="I14" t="s">
        <v>949</v>
      </c>
    </row>
    <row r="15" spans="1:10" x14ac:dyDescent="0.25">
      <c r="A15">
        <v>15</v>
      </c>
    </row>
    <row r="16" spans="1:10" x14ac:dyDescent="0.25">
      <c r="A16">
        <v>16</v>
      </c>
    </row>
    <row r="17" spans="1:1" x14ac:dyDescent="0.25">
      <c r="A17">
        <v>17</v>
      </c>
    </row>
    <row r="18" spans="1:1" x14ac:dyDescent="0.25">
      <c r="A18">
        <v>18</v>
      </c>
    </row>
    <row r="19" spans="1:1" x14ac:dyDescent="0.25">
      <c r="A19">
        <v>19</v>
      </c>
    </row>
    <row r="20" spans="1:1" x14ac:dyDescent="0.25">
      <c r="A20">
        <v>20</v>
      </c>
    </row>
    <row r="21" spans="1:1" x14ac:dyDescent="0.25">
      <c r="A21">
        <v>21</v>
      </c>
    </row>
    <row r="22" spans="1:1" x14ac:dyDescent="0.25">
      <c r="A22">
        <v>22</v>
      </c>
    </row>
    <row r="23" spans="1:1" x14ac:dyDescent="0.25">
      <c r="A23">
        <v>23</v>
      </c>
    </row>
    <row r="24" spans="1:1" x14ac:dyDescent="0.25">
      <c r="A24">
        <v>24</v>
      </c>
    </row>
    <row r="25" spans="1:1" x14ac:dyDescent="0.25">
      <c r="A25">
        <v>25</v>
      </c>
    </row>
    <row r="26" spans="1:1" x14ac:dyDescent="0.25">
      <c r="A26">
        <v>26</v>
      </c>
    </row>
    <row r="27" spans="1:1" x14ac:dyDescent="0.25">
      <c r="A27">
        <v>27</v>
      </c>
    </row>
    <row r="28" spans="1:1" x14ac:dyDescent="0.25">
      <c r="A28">
        <v>28</v>
      </c>
    </row>
    <row r="29" spans="1:1" x14ac:dyDescent="0.25">
      <c r="A29">
        <v>29</v>
      </c>
    </row>
    <row r="30" spans="1:1" x14ac:dyDescent="0.25">
      <c r="A30">
        <v>30</v>
      </c>
    </row>
    <row r="31" spans="1:1" x14ac:dyDescent="0.25">
      <c r="A31">
        <v>31</v>
      </c>
    </row>
    <row r="32" spans="1:1" x14ac:dyDescent="0.25">
      <c r="A32">
        <v>32</v>
      </c>
    </row>
    <row r="33" spans="1:1" x14ac:dyDescent="0.25">
      <c r="A33">
        <v>33</v>
      </c>
    </row>
    <row r="34" spans="1:1" x14ac:dyDescent="0.25">
      <c r="A34">
        <v>34</v>
      </c>
    </row>
    <row r="35" spans="1:1" x14ac:dyDescent="0.25">
      <c r="A35">
        <v>35</v>
      </c>
    </row>
    <row r="36" spans="1:1" x14ac:dyDescent="0.25">
      <c r="A36">
        <v>36</v>
      </c>
    </row>
    <row r="37" spans="1:1" x14ac:dyDescent="0.25">
      <c r="A37">
        <v>37</v>
      </c>
    </row>
    <row r="38" spans="1:1" x14ac:dyDescent="0.25">
      <c r="A38">
        <v>38</v>
      </c>
    </row>
    <row r="39" spans="1:1" x14ac:dyDescent="0.25">
      <c r="A39">
        <v>39</v>
      </c>
    </row>
    <row r="40" spans="1:1" x14ac:dyDescent="0.25">
      <c r="A40">
        <v>40</v>
      </c>
    </row>
    <row r="41" spans="1:1" x14ac:dyDescent="0.25">
      <c r="A41">
        <v>41</v>
      </c>
    </row>
    <row r="42" spans="1:1" x14ac:dyDescent="0.25">
      <c r="A42">
        <v>42</v>
      </c>
    </row>
    <row r="43" spans="1:1" x14ac:dyDescent="0.25">
      <c r="A43">
        <v>43</v>
      </c>
    </row>
    <row r="44" spans="1:1" x14ac:dyDescent="0.25">
      <c r="A44">
        <v>44</v>
      </c>
    </row>
    <row r="45" spans="1:1" x14ac:dyDescent="0.25">
      <c r="A45">
        <v>45</v>
      </c>
    </row>
    <row r="46" spans="1:1" x14ac:dyDescent="0.25">
      <c r="A46">
        <v>46</v>
      </c>
    </row>
    <row r="47" spans="1:1" x14ac:dyDescent="0.25">
      <c r="A47">
        <v>47</v>
      </c>
    </row>
    <row r="48" spans="1:1" x14ac:dyDescent="0.25">
      <c r="A48">
        <v>48</v>
      </c>
    </row>
    <row r="49" spans="1:1" x14ac:dyDescent="0.25">
      <c r="A49">
        <v>49</v>
      </c>
    </row>
    <row r="50" spans="1:1" x14ac:dyDescent="0.25">
      <c r="A50">
        <v>50</v>
      </c>
    </row>
    <row r="51" spans="1:1" x14ac:dyDescent="0.25">
      <c r="A51">
        <v>51</v>
      </c>
    </row>
    <row r="52" spans="1:1" x14ac:dyDescent="0.25">
      <c r="A52">
        <v>52</v>
      </c>
    </row>
    <row r="53" spans="1:1" x14ac:dyDescent="0.25">
      <c r="A53">
        <v>53</v>
      </c>
    </row>
    <row r="54" spans="1:1" x14ac:dyDescent="0.25">
      <c r="A54">
        <v>54</v>
      </c>
    </row>
    <row r="55" spans="1:1" x14ac:dyDescent="0.25">
      <c r="A55">
        <v>55</v>
      </c>
    </row>
    <row r="56" spans="1:1" x14ac:dyDescent="0.25">
      <c r="A56">
        <v>56</v>
      </c>
    </row>
    <row r="57" spans="1:1" x14ac:dyDescent="0.25">
      <c r="A57">
        <v>57</v>
      </c>
    </row>
    <row r="58" spans="1:1" x14ac:dyDescent="0.25">
      <c r="A58">
        <v>58</v>
      </c>
    </row>
    <row r="59" spans="1:1" x14ac:dyDescent="0.25">
      <c r="A59">
        <v>59</v>
      </c>
    </row>
    <row r="60" spans="1:1" x14ac:dyDescent="0.25">
      <c r="A60">
        <v>60</v>
      </c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7454-4366-4011-8C43-73E415E6A8B6}">
  <dimension ref="A1:J16"/>
  <sheetViews>
    <sheetView topLeftCell="C1" workbookViewId="0">
      <selection activeCell="I3" sqref="I3"/>
    </sheetView>
  </sheetViews>
  <sheetFormatPr defaultRowHeight="15" x14ac:dyDescent="0.25"/>
  <cols>
    <col min="2" max="2" width="17.85546875" style="112" bestFit="1" customWidth="1"/>
    <col min="3" max="3" width="15.140625" bestFit="1" customWidth="1"/>
    <col min="4" max="4" width="10.85546875" bestFit="1" customWidth="1"/>
    <col min="5" max="5" width="22.5703125" bestFit="1" customWidth="1"/>
    <col min="7" max="7" width="15.7109375" bestFit="1" customWidth="1"/>
    <col min="8" max="8" width="34.140625" bestFit="1" customWidth="1"/>
    <col min="9" max="9" width="18.5703125" bestFit="1" customWidth="1"/>
    <col min="10" max="10" width="28.140625" bestFit="1" customWidth="1"/>
  </cols>
  <sheetData>
    <row r="1" spans="1:10" x14ac:dyDescent="0.25">
      <c r="A1" t="s">
        <v>119</v>
      </c>
      <c r="B1" s="111" t="s">
        <v>0</v>
      </c>
      <c r="C1" s="53" t="s">
        <v>280</v>
      </c>
      <c r="D1" s="42" t="s">
        <v>1</v>
      </c>
      <c r="E1" s="53" t="s">
        <v>2</v>
      </c>
      <c r="F1" s="54" t="s">
        <v>3</v>
      </c>
      <c r="G1" s="2" t="s">
        <v>318</v>
      </c>
      <c r="H1" s="14" t="s">
        <v>117</v>
      </c>
      <c r="I1" s="82" t="s">
        <v>461</v>
      </c>
      <c r="J1" s="14" t="s">
        <v>120</v>
      </c>
    </row>
    <row r="2" spans="1:10" x14ac:dyDescent="0.25">
      <c r="A2">
        <v>2</v>
      </c>
      <c r="C2" t="s">
        <v>940</v>
      </c>
      <c r="D2" t="s">
        <v>941</v>
      </c>
      <c r="E2" t="s">
        <v>212</v>
      </c>
      <c r="F2" t="s">
        <v>942</v>
      </c>
      <c r="G2" t="s">
        <v>892</v>
      </c>
      <c r="H2" t="s">
        <v>215</v>
      </c>
      <c r="I2" t="s">
        <v>951</v>
      </c>
    </row>
    <row r="3" spans="1:10" x14ac:dyDescent="0.25">
      <c r="A3">
        <v>3</v>
      </c>
      <c r="C3" t="s">
        <v>943</v>
      </c>
      <c r="D3" t="s">
        <v>944</v>
      </c>
      <c r="E3" t="s">
        <v>212</v>
      </c>
      <c r="F3" t="s">
        <v>945</v>
      </c>
      <c r="G3" t="s">
        <v>892</v>
      </c>
      <c r="H3" t="s">
        <v>215</v>
      </c>
      <c r="I3" t="s">
        <v>950</v>
      </c>
    </row>
    <row r="4" spans="1:10" x14ac:dyDescent="0.25">
      <c r="A4">
        <v>4</v>
      </c>
      <c r="C4" t="s">
        <v>946</v>
      </c>
      <c r="D4" t="s">
        <v>947</v>
      </c>
      <c r="E4" t="s">
        <v>212</v>
      </c>
      <c r="F4" t="s">
        <v>948</v>
      </c>
      <c r="G4" t="s">
        <v>892</v>
      </c>
      <c r="H4" t="s">
        <v>215</v>
      </c>
      <c r="I4" t="s">
        <v>950</v>
      </c>
    </row>
    <row r="5" spans="1:10" x14ac:dyDescent="0.25">
      <c r="A5">
        <v>5</v>
      </c>
    </row>
    <row r="6" spans="1:10" x14ac:dyDescent="0.25">
      <c r="A6">
        <v>6</v>
      </c>
    </row>
    <row r="7" spans="1:10" x14ac:dyDescent="0.25">
      <c r="A7">
        <v>7</v>
      </c>
    </row>
    <row r="8" spans="1:10" x14ac:dyDescent="0.25">
      <c r="A8">
        <v>8</v>
      </c>
    </row>
    <row r="9" spans="1:10" x14ac:dyDescent="0.25">
      <c r="A9">
        <v>9</v>
      </c>
    </row>
    <row r="10" spans="1:10" x14ac:dyDescent="0.25">
      <c r="A10">
        <v>10</v>
      </c>
    </row>
    <row r="11" spans="1:10" x14ac:dyDescent="0.25">
      <c r="A11">
        <v>11</v>
      </c>
    </row>
    <row r="12" spans="1:10" x14ac:dyDescent="0.25">
      <c r="A12">
        <v>12</v>
      </c>
    </row>
    <row r="13" spans="1:10" x14ac:dyDescent="0.25">
      <c r="A13">
        <v>13</v>
      </c>
    </row>
    <row r="14" spans="1:10" x14ac:dyDescent="0.25">
      <c r="A14">
        <v>14</v>
      </c>
    </row>
    <row r="15" spans="1:10" x14ac:dyDescent="0.25">
      <c r="A15">
        <v>15</v>
      </c>
    </row>
    <row r="16" spans="1:10" x14ac:dyDescent="0.25">
      <c r="A16">
        <v>16</v>
      </c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B2CE-8BE2-4799-9248-A6A2914E055A}">
  <dimension ref="A1:J124"/>
  <sheetViews>
    <sheetView topLeftCell="A122" workbookViewId="0">
      <selection activeCell="C123" sqref="C123:I124"/>
    </sheetView>
  </sheetViews>
  <sheetFormatPr defaultRowHeight="15" x14ac:dyDescent="0.25"/>
  <cols>
    <col min="1" max="1" width="9.140625" style="32"/>
    <col min="2" max="2" width="5.42578125" style="32" customWidth="1"/>
    <col min="3" max="3" width="18.7109375" style="103" customWidth="1"/>
    <col min="4" max="4" width="19" style="103" customWidth="1"/>
    <col min="5" max="5" width="22.5703125" style="103" bestFit="1" customWidth="1"/>
    <col min="6" max="6" width="14" style="105" bestFit="1" customWidth="1"/>
    <col min="7" max="7" width="15.5703125" style="32" bestFit="1" customWidth="1"/>
    <col min="8" max="8" width="53.28515625" style="32" bestFit="1" customWidth="1"/>
    <col min="9" max="9" width="25.85546875" bestFit="1" customWidth="1"/>
    <col min="10" max="10" width="10.42578125" bestFit="1" customWidth="1"/>
  </cols>
  <sheetData>
    <row r="1" spans="1:10" x14ac:dyDescent="0.25">
      <c r="A1" s="32" t="s">
        <v>119</v>
      </c>
      <c r="B1" s="85" t="s">
        <v>0</v>
      </c>
      <c r="C1" s="86" t="s">
        <v>280</v>
      </c>
      <c r="D1" s="19" t="s">
        <v>1</v>
      </c>
      <c r="E1" s="86" t="s">
        <v>2</v>
      </c>
      <c r="F1" s="87" t="s">
        <v>3</v>
      </c>
      <c r="G1" s="88" t="s">
        <v>4</v>
      </c>
      <c r="H1" s="82" t="s">
        <v>117</v>
      </c>
      <c r="I1" s="14" t="s">
        <v>120</v>
      </c>
    </row>
    <row r="2" spans="1:10" x14ac:dyDescent="0.25">
      <c r="A2" s="32">
        <v>2</v>
      </c>
      <c r="B2" s="89" t="s">
        <v>206</v>
      </c>
      <c r="C2" s="22" t="s">
        <v>154</v>
      </c>
      <c r="D2" s="90">
        <v>2556</v>
      </c>
      <c r="E2" s="91">
        <v>45858</v>
      </c>
      <c r="F2" s="92">
        <v>5285.67</v>
      </c>
      <c r="H2" s="32" t="s">
        <v>215</v>
      </c>
      <c r="J2" s="31" t="str">
        <f>_xlfn.CONCAT(D2," ",E2)</f>
        <v>2556 45858</v>
      </c>
    </row>
    <row r="3" spans="1:10" x14ac:dyDescent="0.25">
      <c r="A3" s="32">
        <v>3</v>
      </c>
      <c r="B3" s="89" t="s">
        <v>206</v>
      </c>
      <c r="C3" s="22" t="s">
        <v>175</v>
      </c>
      <c r="D3" s="90">
        <v>4267</v>
      </c>
      <c r="E3" s="91">
        <v>45874</v>
      </c>
      <c r="F3" s="92">
        <v>1816.02</v>
      </c>
      <c r="H3" s="32" t="s">
        <v>215</v>
      </c>
      <c r="I3" s="29">
        <v>45849</v>
      </c>
      <c r="J3" s="31" t="str">
        <f t="shared" ref="J3:J64" si="0">_xlfn.CONCAT(D3," ",E3)</f>
        <v>4267 45874</v>
      </c>
    </row>
    <row r="4" spans="1:10" x14ac:dyDescent="0.25">
      <c r="A4" s="32">
        <v>4</v>
      </c>
      <c r="B4" s="89" t="s">
        <v>206</v>
      </c>
      <c r="C4" s="22" t="s">
        <v>177</v>
      </c>
      <c r="D4" s="90">
        <v>4654</v>
      </c>
      <c r="E4" s="91">
        <v>45858</v>
      </c>
      <c r="F4" s="92">
        <v>2464.87</v>
      </c>
      <c r="H4" s="32" t="s">
        <v>472</v>
      </c>
      <c r="I4" s="29">
        <v>45849</v>
      </c>
      <c r="J4" s="31" t="str">
        <f t="shared" si="0"/>
        <v>4654 45858</v>
      </c>
    </row>
    <row r="5" spans="1:10" x14ac:dyDescent="0.25">
      <c r="A5" s="32">
        <v>5</v>
      </c>
      <c r="B5" s="89" t="s">
        <v>206</v>
      </c>
      <c r="C5" s="22" t="s">
        <v>178</v>
      </c>
      <c r="D5" s="90">
        <v>3094</v>
      </c>
      <c r="E5" s="91">
        <v>45767</v>
      </c>
      <c r="F5" s="92">
        <v>3618.98</v>
      </c>
      <c r="H5" s="32" t="s">
        <v>472</v>
      </c>
      <c r="J5" s="31" t="str">
        <f t="shared" si="0"/>
        <v>3094 45767</v>
      </c>
    </row>
    <row r="6" spans="1:10" x14ac:dyDescent="0.25">
      <c r="A6" s="32">
        <v>6</v>
      </c>
      <c r="B6" s="89" t="s">
        <v>206</v>
      </c>
      <c r="C6" s="22" t="s">
        <v>179</v>
      </c>
      <c r="D6" s="90">
        <v>4864</v>
      </c>
      <c r="E6" s="91">
        <v>45879</v>
      </c>
      <c r="F6" s="92">
        <v>1379.96</v>
      </c>
      <c r="H6" s="32" t="s">
        <v>472</v>
      </c>
      <c r="I6" s="29">
        <v>45849</v>
      </c>
      <c r="J6" s="31" t="str">
        <f t="shared" si="0"/>
        <v>4864 45879</v>
      </c>
    </row>
    <row r="7" spans="1:10" x14ac:dyDescent="0.25">
      <c r="A7" s="32">
        <v>7</v>
      </c>
      <c r="B7" s="89" t="s">
        <v>206</v>
      </c>
      <c r="C7" s="22" t="s">
        <v>180</v>
      </c>
      <c r="D7" s="90">
        <v>4266</v>
      </c>
      <c r="E7" s="91">
        <v>45874</v>
      </c>
      <c r="F7" s="92">
        <v>1244.79</v>
      </c>
      <c r="H7" s="32" t="s">
        <v>472</v>
      </c>
      <c r="I7" s="29">
        <v>45849</v>
      </c>
      <c r="J7" s="31" t="str">
        <f t="shared" si="0"/>
        <v>4266 45874</v>
      </c>
    </row>
    <row r="8" spans="1:10" x14ac:dyDescent="0.25">
      <c r="A8" s="32">
        <v>8</v>
      </c>
      <c r="B8" s="89" t="s">
        <v>206</v>
      </c>
      <c r="C8" s="22" t="s">
        <v>181</v>
      </c>
      <c r="D8" s="90">
        <v>2996</v>
      </c>
      <c r="E8" s="91">
        <v>45868</v>
      </c>
      <c r="F8" s="92">
        <v>4378.24</v>
      </c>
      <c r="H8" s="32" t="s">
        <v>472</v>
      </c>
      <c r="I8" s="29">
        <v>45849</v>
      </c>
      <c r="J8" s="31" t="str">
        <f t="shared" si="0"/>
        <v>2996 45868</v>
      </c>
    </row>
    <row r="9" spans="1:10" x14ac:dyDescent="0.25">
      <c r="A9" s="32">
        <v>9</v>
      </c>
      <c r="B9" s="89" t="s">
        <v>206</v>
      </c>
      <c r="C9" s="22" t="s">
        <v>182</v>
      </c>
      <c r="D9" s="90">
        <v>1873</v>
      </c>
      <c r="E9" s="91">
        <v>45868</v>
      </c>
      <c r="F9" s="92">
        <v>413.65</v>
      </c>
      <c r="H9" s="32" t="s">
        <v>472</v>
      </c>
      <c r="I9" s="29">
        <v>45849</v>
      </c>
      <c r="J9" s="31" t="str">
        <f t="shared" si="0"/>
        <v>1873 45868</v>
      </c>
    </row>
    <row r="10" spans="1:10" x14ac:dyDescent="0.25">
      <c r="A10" s="32">
        <v>10</v>
      </c>
      <c r="B10" s="89" t="s">
        <v>206</v>
      </c>
      <c r="C10" s="22" t="s">
        <v>183</v>
      </c>
      <c r="D10" s="90">
        <v>4446</v>
      </c>
      <c r="E10" s="91">
        <v>45797</v>
      </c>
      <c r="F10" s="92">
        <v>760.56</v>
      </c>
      <c r="H10" s="32" t="s">
        <v>215</v>
      </c>
      <c r="I10" s="29">
        <v>45849</v>
      </c>
      <c r="J10" s="31" t="str">
        <f t="shared" si="0"/>
        <v>4446 45797</v>
      </c>
    </row>
    <row r="11" spans="1:10" x14ac:dyDescent="0.25">
      <c r="A11" s="32">
        <v>11</v>
      </c>
      <c r="B11" s="89" t="s">
        <v>206</v>
      </c>
      <c r="C11" s="22" t="s">
        <v>184</v>
      </c>
      <c r="D11" s="90">
        <v>1520</v>
      </c>
      <c r="E11" s="91">
        <v>45868</v>
      </c>
      <c r="F11" s="92">
        <v>2125.08</v>
      </c>
      <c r="H11" s="32" t="s">
        <v>215</v>
      </c>
      <c r="I11" s="29">
        <v>45849</v>
      </c>
      <c r="J11" s="31" t="str">
        <f t="shared" si="0"/>
        <v>1520 45868</v>
      </c>
    </row>
    <row r="12" spans="1:10" x14ac:dyDescent="0.25">
      <c r="A12" s="32">
        <v>12</v>
      </c>
      <c r="B12" s="89" t="s">
        <v>206</v>
      </c>
      <c r="C12" s="22" t="s">
        <v>185</v>
      </c>
      <c r="D12" s="90">
        <v>3629</v>
      </c>
      <c r="E12" s="91">
        <v>45853</v>
      </c>
      <c r="F12" s="92">
        <v>2048.71</v>
      </c>
      <c r="H12" s="32" t="s">
        <v>215</v>
      </c>
      <c r="I12" s="29">
        <v>45849</v>
      </c>
      <c r="J12" s="31" t="str">
        <f t="shared" si="0"/>
        <v>3629 45853</v>
      </c>
    </row>
    <row r="13" spans="1:10" x14ac:dyDescent="0.25">
      <c r="A13" s="32">
        <v>13</v>
      </c>
      <c r="B13" s="89" t="s">
        <v>206</v>
      </c>
      <c r="C13" s="22" t="s">
        <v>186</v>
      </c>
      <c r="D13" s="90">
        <v>1316</v>
      </c>
      <c r="E13" s="91">
        <v>45838</v>
      </c>
      <c r="F13" s="92">
        <v>2837.66</v>
      </c>
      <c r="H13" s="32" t="s">
        <v>215</v>
      </c>
      <c r="I13" s="29">
        <v>45849</v>
      </c>
      <c r="J13" s="31" t="str">
        <f t="shared" si="0"/>
        <v>1316 45838</v>
      </c>
    </row>
    <row r="14" spans="1:10" x14ac:dyDescent="0.25">
      <c r="A14" s="32">
        <v>14</v>
      </c>
      <c r="B14" s="89" t="s">
        <v>206</v>
      </c>
      <c r="C14" s="22" t="s">
        <v>187</v>
      </c>
      <c r="D14" s="90">
        <v>1767</v>
      </c>
      <c r="E14" s="91">
        <v>45868</v>
      </c>
      <c r="F14" s="92">
        <v>681.72</v>
      </c>
      <c r="H14" s="32" t="s">
        <v>215</v>
      </c>
      <c r="I14" s="29">
        <v>45849</v>
      </c>
      <c r="J14" s="31" t="str">
        <f t="shared" si="0"/>
        <v>1767 45868</v>
      </c>
    </row>
    <row r="15" spans="1:10" x14ac:dyDescent="0.25">
      <c r="A15" s="32">
        <v>15</v>
      </c>
      <c r="B15" s="89" t="s">
        <v>206</v>
      </c>
      <c r="C15" s="22" t="s">
        <v>188</v>
      </c>
      <c r="D15" s="90">
        <v>4516</v>
      </c>
      <c r="E15" s="91">
        <v>45858</v>
      </c>
      <c r="F15" s="92">
        <v>974.79</v>
      </c>
      <c r="H15" s="32" t="s">
        <v>472</v>
      </c>
      <c r="J15" s="31" t="str">
        <f t="shared" si="0"/>
        <v>4516 45858</v>
      </c>
    </row>
    <row r="16" spans="1:10" x14ac:dyDescent="0.25">
      <c r="A16" s="32">
        <v>16</v>
      </c>
      <c r="B16" s="89" t="s">
        <v>206</v>
      </c>
      <c r="C16" s="22" t="s">
        <v>189</v>
      </c>
      <c r="D16" s="90">
        <v>4362</v>
      </c>
      <c r="E16" s="91">
        <v>45797</v>
      </c>
      <c r="F16" s="92">
        <v>4677.62</v>
      </c>
      <c r="H16" s="32" t="s">
        <v>472</v>
      </c>
      <c r="J16" s="31" t="str">
        <f t="shared" si="0"/>
        <v>4362 45797</v>
      </c>
    </row>
    <row r="17" spans="1:10" x14ac:dyDescent="0.25">
      <c r="A17" s="32">
        <v>17</v>
      </c>
      <c r="B17" s="89" t="s">
        <v>206</v>
      </c>
      <c r="C17" s="22" t="s">
        <v>189</v>
      </c>
      <c r="D17" s="90">
        <v>4362</v>
      </c>
      <c r="E17" s="91">
        <v>45828</v>
      </c>
      <c r="F17" s="92">
        <v>4677.62</v>
      </c>
      <c r="H17" s="32" t="s">
        <v>472</v>
      </c>
      <c r="J17" s="31" t="str">
        <f t="shared" si="0"/>
        <v>4362 45828</v>
      </c>
    </row>
    <row r="18" spans="1:10" x14ac:dyDescent="0.25">
      <c r="A18" s="32">
        <v>18</v>
      </c>
      <c r="B18" s="89" t="s">
        <v>206</v>
      </c>
      <c r="C18" s="22" t="s">
        <v>190</v>
      </c>
      <c r="D18" s="90">
        <v>2115</v>
      </c>
      <c r="E18" s="91">
        <v>45858</v>
      </c>
      <c r="F18" s="92">
        <v>1099.02</v>
      </c>
      <c r="H18" s="32" t="s">
        <v>215</v>
      </c>
      <c r="I18" s="29">
        <v>45849</v>
      </c>
      <c r="J18" s="31" t="str">
        <f t="shared" si="0"/>
        <v>2115 45858</v>
      </c>
    </row>
    <row r="19" spans="1:10" x14ac:dyDescent="0.25">
      <c r="A19" s="32">
        <v>19</v>
      </c>
      <c r="B19" s="89" t="s">
        <v>206</v>
      </c>
      <c r="C19" s="22" t="s">
        <v>191</v>
      </c>
      <c r="D19" s="90">
        <v>2093</v>
      </c>
      <c r="E19" s="91">
        <v>45868</v>
      </c>
      <c r="F19" s="92">
        <v>1517.75</v>
      </c>
      <c r="H19" s="32" t="s">
        <v>215</v>
      </c>
      <c r="I19" s="29">
        <v>45849</v>
      </c>
      <c r="J19" s="31" t="str">
        <f t="shared" si="0"/>
        <v>2093 45868</v>
      </c>
    </row>
    <row r="20" spans="1:10" x14ac:dyDescent="0.25">
      <c r="A20" s="32">
        <v>20</v>
      </c>
      <c r="B20" s="89" t="s">
        <v>206</v>
      </c>
      <c r="C20" s="22" t="s">
        <v>192</v>
      </c>
      <c r="D20" s="90">
        <v>2463</v>
      </c>
      <c r="E20" s="91">
        <v>45868</v>
      </c>
      <c r="F20" s="92">
        <v>1965.03</v>
      </c>
      <c r="H20" s="32" t="s">
        <v>215</v>
      </c>
      <c r="I20" s="29">
        <v>45849</v>
      </c>
      <c r="J20" s="31" t="str">
        <f t="shared" si="0"/>
        <v>2463 45868</v>
      </c>
    </row>
    <row r="21" spans="1:10" x14ac:dyDescent="0.25">
      <c r="A21" s="32">
        <v>21</v>
      </c>
      <c r="B21" s="89" t="s">
        <v>206</v>
      </c>
      <c r="C21" s="22" t="s">
        <v>193</v>
      </c>
      <c r="D21" s="90">
        <v>4688</v>
      </c>
      <c r="E21" s="91">
        <v>45858</v>
      </c>
      <c r="F21" s="92">
        <v>1418.83</v>
      </c>
      <c r="H21" s="32" t="s">
        <v>215</v>
      </c>
      <c r="I21" s="29">
        <v>45849</v>
      </c>
      <c r="J21" s="31" t="str">
        <f t="shared" si="0"/>
        <v>4688 45858</v>
      </c>
    </row>
    <row r="22" spans="1:10" x14ac:dyDescent="0.25">
      <c r="A22" s="32">
        <v>22</v>
      </c>
      <c r="B22" s="89" t="s">
        <v>206</v>
      </c>
      <c r="C22" s="22" t="s">
        <v>194</v>
      </c>
      <c r="D22" s="90">
        <v>4196</v>
      </c>
      <c r="E22" s="91">
        <v>45874</v>
      </c>
      <c r="F22" s="92">
        <v>726.58</v>
      </c>
      <c r="H22" s="32" t="s">
        <v>215</v>
      </c>
      <c r="I22" s="29">
        <v>45849</v>
      </c>
      <c r="J22" s="31" t="str">
        <f t="shared" si="0"/>
        <v>4196 45874</v>
      </c>
    </row>
    <row r="23" spans="1:10" x14ac:dyDescent="0.25">
      <c r="A23" s="32">
        <v>23</v>
      </c>
      <c r="B23" s="89" t="s">
        <v>206</v>
      </c>
      <c r="C23" s="22" t="s">
        <v>195</v>
      </c>
      <c r="D23" s="90">
        <v>4402</v>
      </c>
      <c r="E23" s="91">
        <v>45874</v>
      </c>
      <c r="F23" s="92">
        <v>800.83</v>
      </c>
      <c r="H23" s="32" t="s">
        <v>215</v>
      </c>
      <c r="I23" s="29">
        <v>45849</v>
      </c>
      <c r="J23" s="31" t="str">
        <f t="shared" si="0"/>
        <v>4402 45874</v>
      </c>
    </row>
    <row r="24" spans="1:10" x14ac:dyDescent="0.25">
      <c r="A24" s="32">
        <v>24</v>
      </c>
      <c r="B24" s="89" t="s">
        <v>206</v>
      </c>
      <c r="C24" s="22" t="s">
        <v>196</v>
      </c>
      <c r="D24" s="90">
        <v>3278</v>
      </c>
      <c r="E24" s="91">
        <v>45868</v>
      </c>
      <c r="F24" s="92">
        <v>589.04999999999995</v>
      </c>
      <c r="H24" s="32" t="s">
        <v>215</v>
      </c>
      <c r="I24" s="29">
        <v>45849</v>
      </c>
      <c r="J24" s="31" t="str">
        <f t="shared" si="0"/>
        <v>3278 45868</v>
      </c>
    </row>
    <row r="25" spans="1:10" x14ac:dyDescent="0.25">
      <c r="A25" s="32">
        <v>25</v>
      </c>
      <c r="B25" s="89" t="s">
        <v>206</v>
      </c>
      <c r="C25" s="22" t="s">
        <v>197</v>
      </c>
      <c r="D25" s="90">
        <v>3539</v>
      </c>
      <c r="E25" s="91">
        <v>45797</v>
      </c>
      <c r="F25" s="92">
        <v>624.9</v>
      </c>
      <c r="H25" s="32" t="s">
        <v>472</v>
      </c>
      <c r="J25" s="31" t="str">
        <f t="shared" si="0"/>
        <v>3539 45797</v>
      </c>
    </row>
    <row r="26" spans="1:10" x14ac:dyDescent="0.25">
      <c r="A26" s="32">
        <v>26</v>
      </c>
      <c r="B26" s="89" t="s">
        <v>206</v>
      </c>
      <c r="C26" s="22" t="s">
        <v>197</v>
      </c>
      <c r="D26" s="90">
        <v>3539</v>
      </c>
      <c r="E26" s="91">
        <v>45828</v>
      </c>
      <c r="F26" s="92">
        <v>596.54999999999995</v>
      </c>
      <c r="H26" s="32" t="s">
        <v>472</v>
      </c>
      <c r="J26" s="31" t="str">
        <f t="shared" si="0"/>
        <v>3539 45828</v>
      </c>
    </row>
    <row r="27" spans="1:10" x14ac:dyDescent="0.25">
      <c r="A27" s="32">
        <v>27</v>
      </c>
      <c r="B27" s="89" t="s">
        <v>206</v>
      </c>
      <c r="C27" s="22" t="s">
        <v>198</v>
      </c>
      <c r="D27" s="90">
        <v>4298</v>
      </c>
      <c r="E27" s="91">
        <v>45874</v>
      </c>
      <c r="F27" s="92">
        <v>791.59</v>
      </c>
      <c r="H27" s="32" t="s">
        <v>215</v>
      </c>
      <c r="I27" s="29">
        <v>45849</v>
      </c>
      <c r="J27" s="31" t="str">
        <f t="shared" si="0"/>
        <v>4298 45874</v>
      </c>
    </row>
    <row r="28" spans="1:10" x14ac:dyDescent="0.25">
      <c r="A28" s="32">
        <v>28</v>
      </c>
      <c r="B28" s="89" t="s">
        <v>206</v>
      </c>
      <c r="C28" s="22" t="s">
        <v>199</v>
      </c>
      <c r="D28" s="90">
        <v>3970</v>
      </c>
      <c r="E28" s="91">
        <v>45858</v>
      </c>
      <c r="F28" s="92">
        <v>1984.51</v>
      </c>
      <c r="H28" s="32" t="s">
        <v>472</v>
      </c>
      <c r="J28" s="31" t="str">
        <f t="shared" si="0"/>
        <v>3970 45858</v>
      </c>
    </row>
    <row r="29" spans="1:10" x14ac:dyDescent="0.25">
      <c r="A29" s="32">
        <v>29</v>
      </c>
      <c r="B29" s="89" t="s">
        <v>206</v>
      </c>
      <c r="C29" s="22" t="s">
        <v>200</v>
      </c>
      <c r="D29" s="90">
        <v>4031</v>
      </c>
      <c r="E29" s="91">
        <v>45874</v>
      </c>
      <c r="F29" s="92">
        <v>980.42</v>
      </c>
      <c r="H29" s="32" t="s">
        <v>472</v>
      </c>
      <c r="J29" s="31" t="str">
        <f t="shared" si="0"/>
        <v>4031 45874</v>
      </c>
    </row>
    <row r="30" spans="1:10" x14ac:dyDescent="0.25">
      <c r="A30" s="32">
        <v>30</v>
      </c>
      <c r="B30" s="89" t="s">
        <v>206</v>
      </c>
      <c r="C30" s="22" t="s">
        <v>201</v>
      </c>
      <c r="D30" s="90">
        <v>4206</v>
      </c>
      <c r="E30" s="91">
        <v>45874</v>
      </c>
      <c r="F30" s="92">
        <v>1948.5</v>
      </c>
      <c r="H30" s="32" t="s">
        <v>215</v>
      </c>
      <c r="I30" s="29">
        <v>45849</v>
      </c>
      <c r="J30" s="31" t="str">
        <f t="shared" si="0"/>
        <v>4206 45874</v>
      </c>
    </row>
    <row r="31" spans="1:10" x14ac:dyDescent="0.25">
      <c r="A31" s="32">
        <v>31</v>
      </c>
      <c r="B31" s="89" t="s">
        <v>206</v>
      </c>
      <c r="C31" s="22" t="s">
        <v>202</v>
      </c>
      <c r="D31" s="90">
        <v>4831</v>
      </c>
      <c r="E31" s="91">
        <v>45879</v>
      </c>
      <c r="F31" s="92">
        <v>789.13</v>
      </c>
      <c r="H31" s="32" t="s">
        <v>215</v>
      </c>
      <c r="I31" s="29">
        <v>45849</v>
      </c>
      <c r="J31" s="31" t="str">
        <f t="shared" si="0"/>
        <v>4831 45879</v>
      </c>
    </row>
    <row r="32" spans="1:10" x14ac:dyDescent="0.25">
      <c r="A32" s="32">
        <v>32</v>
      </c>
      <c r="B32" s="89" t="s">
        <v>206</v>
      </c>
      <c r="C32" s="22" t="s">
        <v>203</v>
      </c>
      <c r="D32" s="90">
        <v>4840</v>
      </c>
      <c r="E32" s="91">
        <v>45848</v>
      </c>
      <c r="F32" s="92">
        <v>1813.91</v>
      </c>
      <c r="H32" s="32" t="s">
        <v>472</v>
      </c>
      <c r="J32" s="31" t="str">
        <f t="shared" si="0"/>
        <v>4840 45848</v>
      </c>
    </row>
    <row r="33" spans="1:10" x14ac:dyDescent="0.25">
      <c r="A33" s="32">
        <v>33</v>
      </c>
      <c r="B33" s="89" t="s">
        <v>206</v>
      </c>
      <c r="C33" s="22" t="s">
        <v>203</v>
      </c>
      <c r="D33" s="90">
        <v>4840</v>
      </c>
      <c r="E33" s="91">
        <v>45879</v>
      </c>
      <c r="F33" s="92">
        <v>1813.91</v>
      </c>
      <c r="H33" s="32" t="s">
        <v>472</v>
      </c>
      <c r="J33" s="31" t="str">
        <f t="shared" si="0"/>
        <v>4840 45879</v>
      </c>
    </row>
    <row r="34" spans="1:10" x14ac:dyDescent="0.25">
      <c r="A34" s="32">
        <v>34</v>
      </c>
      <c r="B34" s="89" t="s">
        <v>206</v>
      </c>
      <c r="C34" s="23" t="s">
        <v>204</v>
      </c>
      <c r="D34" s="93">
        <v>4809</v>
      </c>
      <c r="E34" s="94">
        <v>45879</v>
      </c>
      <c r="F34" s="95">
        <v>634.66999999999996</v>
      </c>
      <c r="H34" s="32" t="s">
        <v>215</v>
      </c>
      <c r="I34" s="29">
        <v>45849</v>
      </c>
      <c r="J34" s="31" t="str">
        <f t="shared" si="0"/>
        <v>4809 45879</v>
      </c>
    </row>
    <row r="35" spans="1:10" x14ac:dyDescent="0.25">
      <c r="A35" s="32">
        <v>35</v>
      </c>
      <c r="C35" s="35" t="s">
        <v>288</v>
      </c>
      <c r="D35" s="96">
        <v>1043</v>
      </c>
      <c r="E35" s="97">
        <v>45342</v>
      </c>
      <c r="F35" s="30">
        <v>17.920000000000002</v>
      </c>
      <c r="H35" s="32" t="s">
        <v>215</v>
      </c>
      <c r="J35" s="31" t="str">
        <f t="shared" si="0"/>
        <v>1043 45342</v>
      </c>
    </row>
    <row r="36" spans="1:10" x14ac:dyDescent="0.25">
      <c r="A36" s="32">
        <v>36</v>
      </c>
      <c r="C36" s="35" t="s">
        <v>289</v>
      </c>
      <c r="D36" s="96">
        <v>3472</v>
      </c>
      <c r="E36" s="97">
        <v>45311</v>
      </c>
      <c r="F36" s="30">
        <v>69.430000000000007</v>
      </c>
      <c r="H36" s="32" t="s">
        <v>215</v>
      </c>
      <c r="J36" s="31" t="str">
        <f t="shared" si="0"/>
        <v>3472 45311</v>
      </c>
    </row>
    <row r="37" spans="1:10" x14ac:dyDescent="0.25">
      <c r="A37" s="32">
        <v>37</v>
      </c>
      <c r="C37" s="35" t="s">
        <v>289</v>
      </c>
      <c r="D37" s="96">
        <v>3472</v>
      </c>
      <c r="E37" s="97">
        <v>45342</v>
      </c>
      <c r="F37" s="30">
        <v>173.61</v>
      </c>
      <c r="H37" s="32" t="s">
        <v>215</v>
      </c>
      <c r="J37" s="31" t="str">
        <f t="shared" si="0"/>
        <v>3472 45342</v>
      </c>
    </row>
    <row r="38" spans="1:10" x14ac:dyDescent="0.25">
      <c r="A38" s="32">
        <v>38</v>
      </c>
      <c r="C38" s="36" t="s">
        <v>290</v>
      </c>
      <c r="D38" s="98">
        <v>2536</v>
      </c>
      <c r="E38" s="99">
        <v>45858</v>
      </c>
      <c r="F38" s="33">
        <v>1405.82</v>
      </c>
      <c r="H38" s="32" t="s">
        <v>465</v>
      </c>
      <c r="J38" s="31" t="str">
        <f t="shared" si="0"/>
        <v>2536 45858</v>
      </c>
    </row>
    <row r="39" spans="1:10" x14ac:dyDescent="0.25">
      <c r="A39" s="32">
        <v>39</v>
      </c>
      <c r="C39" s="36" t="s">
        <v>290</v>
      </c>
      <c r="D39" s="98">
        <v>2536</v>
      </c>
      <c r="E39" s="99">
        <v>45858</v>
      </c>
      <c r="F39" s="33">
        <v>1405.82</v>
      </c>
      <c r="H39" s="32" t="s">
        <v>465</v>
      </c>
      <c r="J39" s="31" t="str">
        <f t="shared" si="0"/>
        <v>2536 45858</v>
      </c>
    </row>
    <row r="40" spans="1:10" x14ac:dyDescent="0.25">
      <c r="A40" s="32">
        <v>40</v>
      </c>
      <c r="C40" s="36" t="s">
        <v>291</v>
      </c>
      <c r="D40" s="98">
        <v>3188</v>
      </c>
      <c r="E40" s="99">
        <v>45767</v>
      </c>
      <c r="F40" s="33">
        <v>1094.76</v>
      </c>
      <c r="H40" s="32" t="s">
        <v>215</v>
      </c>
      <c r="I40" s="29">
        <v>46002</v>
      </c>
      <c r="J40" s="31" t="str">
        <f t="shared" si="0"/>
        <v>3188 45767</v>
      </c>
    </row>
    <row r="41" spans="1:10" x14ac:dyDescent="0.25">
      <c r="A41" s="32">
        <v>41</v>
      </c>
      <c r="C41" s="36" t="s">
        <v>292</v>
      </c>
      <c r="D41" s="98">
        <v>3833</v>
      </c>
      <c r="E41" s="99">
        <v>45874</v>
      </c>
      <c r="F41" s="33">
        <v>1266.0999999999999</v>
      </c>
      <c r="H41" s="32" t="s">
        <v>118</v>
      </c>
      <c r="J41" s="31" t="str">
        <f t="shared" si="0"/>
        <v>3833 45874</v>
      </c>
    </row>
    <row r="42" spans="1:10" x14ac:dyDescent="0.25">
      <c r="A42" s="32">
        <v>42</v>
      </c>
      <c r="C42" s="36" t="s">
        <v>292</v>
      </c>
      <c r="D42" s="98">
        <v>3833</v>
      </c>
      <c r="E42" s="99">
        <v>45874</v>
      </c>
      <c r="F42" s="33">
        <v>1266.0999999999999</v>
      </c>
      <c r="H42" s="32" t="s">
        <v>118</v>
      </c>
      <c r="J42" s="31" t="str">
        <f t="shared" si="0"/>
        <v>3833 45874</v>
      </c>
    </row>
    <row r="43" spans="1:10" x14ac:dyDescent="0.25">
      <c r="A43" s="32">
        <v>43</v>
      </c>
      <c r="C43" s="36" t="s">
        <v>198</v>
      </c>
      <c r="D43" s="98">
        <v>4298</v>
      </c>
      <c r="E43" s="99">
        <v>45813</v>
      </c>
      <c r="F43" s="33">
        <v>1278.43</v>
      </c>
      <c r="H43" s="32" t="s">
        <v>215</v>
      </c>
      <c r="I43" s="29">
        <v>46002</v>
      </c>
      <c r="J43" s="31" t="str">
        <f t="shared" si="0"/>
        <v>4298 45813</v>
      </c>
    </row>
    <row r="44" spans="1:10" x14ac:dyDescent="0.25">
      <c r="A44" s="32">
        <v>44</v>
      </c>
      <c r="C44" s="36" t="s">
        <v>198</v>
      </c>
      <c r="D44" s="98">
        <v>4298</v>
      </c>
      <c r="E44" s="99">
        <v>45843</v>
      </c>
      <c r="F44" s="33">
        <v>791.59</v>
      </c>
      <c r="H44" s="32" t="s">
        <v>215</v>
      </c>
      <c r="I44" s="29">
        <v>46002</v>
      </c>
      <c r="J44" s="31" t="str">
        <f t="shared" si="0"/>
        <v>4298 45843</v>
      </c>
    </row>
    <row r="45" spans="1:10" x14ac:dyDescent="0.25">
      <c r="A45" s="32">
        <v>45</v>
      </c>
      <c r="C45" s="36" t="s">
        <v>293</v>
      </c>
      <c r="D45" s="98">
        <v>4440</v>
      </c>
      <c r="E45" s="99">
        <v>45767</v>
      </c>
      <c r="F45" s="33">
        <v>299.17</v>
      </c>
      <c r="H45" s="32" t="s">
        <v>215</v>
      </c>
      <c r="I45" s="29">
        <v>46002</v>
      </c>
      <c r="J45" s="31" t="str">
        <f t="shared" si="0"/>
        <v>4440 45767</v>
      </c>
    </row>
    <row r="46" spans="1:10" x14ac:dyDescent="0.25">
      <c r="A46" s="32">
        <v>46</v>
      </c>
      <c r="C46" s="36" t="s">
        <v>294</v>
      </c>
      <c r="D46" s="98">
        <v>4693</v>
      </c>
      <c r="E46" s="99">
        <v>45848</v>
      </c>
      <c r="F46" s="33">
        <v>2432.5300000000002</v>
      </c>
      <c r="H46" s="32" t="s">
        <v>215</v>
      </c>
      <c r="I46" s="29">
        <v>46002</v>
      </c>
      <c r="J46" s="31" t="str">
        <f t="shared" si="0"/>
        <v>4693 45848</v>
      </c>
    </row>
    <row r="47" spans="1:10" x14ac:dyDescent="0.25">
      <c r="A47" s="32">
        <v>47</v>
      </c>
      <c r="C47" s="37" t="s">
        <v>294</v>
      </c>
      <c r="D47" s="100">
        <v>4693</v>
      </c>
      <c r="E47" s="101">
        <v>45879</v>
      </c>
      <c r="F47" s="34">
        <v>2432.5300000000002</v>
      </c>
      <c r="H47" s="32" t="s">
        <v>215</v>
      </c>
      <c r="I47" s="29">
        <v>46002</v>
      </c>
      <c r="J47" s="31" t="str">
        <f t="shared" si="0"/>
        <v>4693 45879</v>
      </c>
    </row>
    <row r="48" spans="1:10" x14ac:dyDescent="0.25">
      <c r="A48" s="32">
        <v>48</v>
      </c>
      <c r="C48" s="102" t="s">
        <v>291</v>
      </c>
      <c r="D48" s="103">
        <v>3188</v>
      </c>
      <c r="E48" s="104">
        <v>45767</v>
      </c>
      <c r="F48" s="105">
        <v>1094.76</v>
      </c>
      <c r="H48" s="32" t="s">
        <v>281</v>
      </c>
      <c r="J48" s="31" t="str">
        <f t="shared" ref="J48:J55" si="1">_xlfn.CONCAT(D48," ",E48)</f>
        <v>3188 45767</v>
      </c>
    </row>
    <row r="49" spans="1:10" x14ac:dyDescent="0.25">
      <c r="A49" s="32">
        <v>49</v>
      </c>
      <c r="C49" s="102" t="s">
        <v>293</v>
      </c>
      <c r="D49" s="103">
        <v>4440</v>
      </c>
      <c r="E49" s="104">
        <v>45767</v>
      </c>
      <c r="F49" s="105">
        <v>299.17</v>
      </c>
      <c r="H49" s="32" t="s">
        <v>465</v>
      </c>
      <c r="J49" s="31" t="str">
        <f t="shared" si="1"/>
        <v>4440 45767</v>
      </c>
    </row>
    <row r="50" spans="1:10" x14ac:dyDescent="0.25">
      <c r="A50" s="32">
        <v>50</v>
      </c>
      <c r="C50" s="102" t="s">
        <v>198</v>
      </c>
      <c r="D50" s="103">
        <v>4298</v>
      </c>
      <c r="E50" s="104">
        <v>45813</v>
      </c>
      <c r="F50" s="105">
        <v>1278.43</v>
      </c>
      <c r="H50" s="32" t="s">
        <v>465</v>
      </c>
      <c r="J50" s="31" t="str">
        <f t="shared" si="1"/>
        <v>4298 45813</v>
      </c>
    </row>
    <row r="51" spans="1:10" x14ac:dyDescent="0.25">
      <c r="A51" s="32">
        <v>51</v>
      </c>
      <c r="C51" s="102" t="s">
        <v>198</v>
      </c>
      <c r="D51" s="103">
        <v>4298</v>
      </c>
      <c r="E51" s="104">
        <v>45843</v>
      </c>
      <c r="F51" s="105">
        <v>791.59</v>
      </c>
      <c r="H51" s="32" t="s">
        <v>465</v>
      </c>
      <c r="J51" s="31" t="str">
        <f t="shared" si="1"/>
        <v>4298 45843</v>
      </c>
    </row>
    <row r="52" spans="1:10" x14ac:dyDescent="0.25">
      <c r="A52" s="32">
        <v>52</v>
      </c>
      <c r="C52" s="102" t="s">
        <v>294</v>
      </c>
      <c r="D52" s="103">
        <v>4693</v>
      </c>
      <c r="E52" s="104">
        <v>45848</v>
      </c>
      <c r="F52" s="105">
        <v>2432.5300000000002</v>
      </c>
      <c r="H52" s="32" t="s">
        <v>281</v>
      </c>
      <c r="J52" s="31" t="str">
        <f t="shared" si="1"/>
        <v>4693 45848</v>
      </c>
    </row>
    <row r="53" spans="1:10" x14ac:dyDescent="0.25">
      <c r="A53" s="32">
        <v>53</v>
      </c>
      <c r="C53" s="102" t="s">
        <v>290</v>
      </c>
      <c r="D53" s="103">
        <v>2536</v>
      </c>
      <c r="E53" s="104">
        <v>45858</v>
      </c>
      <c r="F53" s="105">
        <v>1405.82</v>
      </c>
      <c r="H53" s="32" t="s">
        <v>465</v>
      </c>
      <c r="J53" s="31" t="str">
        <f t="shared" si="1"/>
        <v>2536 45858</v>
      </c>
    </row>
    <row r="54" spans="1:10" x14ac:dyDescent="0.25">
      <c r="A54" s="32">
        <v>54</v>
      </c>
      <c r="C54" s="102" t="s">
        <v>292</v>
      </c>
      <c r="D54" s="103">
        <v>3833</v>
      </c>
      <c r="E54" s="104">
        <v>45874</v>
      </c>
      <c r="F54" s="105">
        <v>1266.0999999999999</v>
      </c>
      <c r="H54" s="32" t="s">
        <v>215</v>
      </c>
      <c r="I54" s="29">
        <v>46002</v>
      </c>
      <c r="J54" s="31" t="str">
        <f t="shared" si="1"/>
        <v>3833 45874</v>
      </c>
    </row>
    <row r="55" spans="1:10" x14ac:dyDescent="0.25">
      <c r="A55" s="32">
        <v>55</v>
      </c>
      <c r="C55" s="102" t="s">
        <v>294</v>
      </c>
      <c r="D55" s="103">
        <v>4693</v>
      </c>
      <c r="E55" s="104">
        <v>45879</v>
      </c>
      <c r="F55" s="105">
        <v>2432.5300000000002</v>
      </c>
      <c r="H55" s="32" t="s">
        <v>118</v>
      </c>
      <c r="J55" s="31" t="str">
        <f t="shared" si="1"/>
        <v>4693 45879</v>
      </c>
    </row>
    <row r="56" spans="1:10" x14ac:dyDescent="0.25">
      <c r="A56" s="32">
        <v>56</v>
      </c>
      <c r="C56" s="36" t="s">
        <v>297</v>
      </c>
      <c r="D56" s="98">
        <v>2133</v>
      </c>
      <c r="E56" s="99">
        <v>45899</v>
      </c>
      <c r="F56" s="106">
        <v>893.83</v>
      </c>
      <c r="H56" s="32" t="s">
        <v>466</v>
      </c>
      <c r="J56" s="31" t="str">
        <f t="shared" si="0"/>
        <v>2133 45899</v>
      </c>
    </row>
    <row r="57" spans="1:10" x14ac:dyDescent="0.25">
      <c r="A57" s="32">
        <v>57</v>
      </c>
      <c r="C57" s="36" t="s">
        <v>298</v>
      </c>
      <c r="D57" s="98">
        <v>2187</v>
      </c>
      <c r="E57" s="99">
        <v>45899</v>
      </c>
      <c r="F57" s="106">
        <v>1887.11</v>
      </c>
      <c r="H57" s="32" t="s">
        <v>466</v>
      </c>
      <c r="J57" s="31" t="str">
        <f t="shared" si="0"/>
        <v>2187 45899</v>
      </c>
    </row>
    <row r="58" spans="1:10" x14ac:dyDescent="0.25">
      <c r="A58" s="32">
        <v>58</v>
      </c>
      <c r="C58" s="36" t="s">
        <v>299</v>
      </c>
      <c r="D58" s="98">
        <v>4702</v>
      </c>
      <c r="E58" s="99">
        <v>45910</v>
      </c>
      <c r="F58" s="106">
        <v>517.14</v>
      </c>
      <c r="H58" s="32" t="s">
        <v>466</v>
      </c>
      <c r="J58" s="31" t="str">
        <f t="shared" si="0"/>
        <v>4702 45910</v>
      </c>
    </row>
    <row r="59" spans="1:10" x14ac:dyDescent="0.25">
      <c r="A59" s="32">
        <v>59</v>
      </c>
      <c r="C59" s="36" t="s">
        <v>194</v>
      </c>
      <c r="D59" s="98">
        <v>4196</v>
      </c>
      <c r="E59" s="99">
        <v>45905</v>
      </c>
      <c r="F59" s="106">
        <v>726.58</v>
      </c>
      <c r="H59" s="32" t="s">
        <v>466</v>
      </c>
      <c r="J59" s="31" t="str">
        <f t="shared" si="0"/>
        <v>4196 45905</v>
      </c>
    </row>
    <row r="60" spans="1:10" x14ac:dyDescent="0.25">
      <c r="A60" s="32">
        <v>60</v>
      </c>
      <c r="C60" s="36" t="s">
        <v>300</v>
      </c>
      <c r="D60" s="98">
        <v>3405</v>
      </c>
      <c r="E60" s="99">
        <v>45899</v>
      </c>
      <c r="F60" s="106">
        <v>2195.65</v>
      </c>
      <c r="H60" s="32" t="s">
        <v>466</v>
      </c>
      <c r="J60" s="31" t="str">
        <f t="shared" si="0"/>
        <v>3405 45899</v>
      </c>
    </row>
    <row r="61" spans="1:10" x14ac:dyDescent="0.25">
      <c r="A61" s="32">
        <v>61</v>
      </c>
      <c r="C61" s="36" t="s">
        <v>301</v>
      </c>
      <c r="D61" s="98">
        <v>3081</v>
      </c>
      <c r="E61" s="99">
        <v>45889</v>
      </c>
      <c r="F61" s="106">
        <v>807.59</v>
      </c>
      <c r="H61" s="32" t="s">
        <v>466</v>
      </c>
      <c r="J61" s="31" t="str">
        <f t="shared" si="0"/>
        <v>3081 45889</v>
      </c>
    </row>
    <row r="62" spans="1:10" x14ac:dyDescent="0.25">
      <c r="A62" s="32">
        <v>62</v>
      </c>
      <c r="C62" s="37" t="s">
        <v>302</v>
      </c>
      <c r="D62" s="100">
        <v>4650</v>
      </c>
      <c r="E62" s="101">
        <v>45889</v>
      </c>
      <c r="F62" s="107">
        <v>1244.27</v>
      </c>
      <c r="H62" s="32" t="s">
        <v>466</v>
      </c>
      <c r="J62" s="31" t="str">
        <f t="shared" si="0"/>
        <v>4650 45889</v>
      </c>
    </row>
    <row r="63" spans="1:10" x14ac:dyDescent="0.25">
      <c r="A63" s="32">
        <v>63</v>
      </c>
      <c r="C63" s="35" t="s">
        <v>301</v>
      </c>
      <c r="D63" s="96">
        <v>3081</v>
      </c>
      <c r="E63" s="97">
        <v>45858</v>
      </c>
      <c r="F63" s="108">
        <v>807.59</v>
      </c>
      <c r="H63" s="32" t="s">
        <v>466</v>
      </c>
      <c r="J63" s="31" t="str">
        <f t="shared" si="0"/>
        <v>3081 45858</v>
      </c>
    </row>
    <row r="64" spans="1:10" x14ac:dyDescent="0.25">
      <c r="A64" s="32">
        <v>64</v>
      </c>
      <c r="C64" s="102" t="s">
        <v>376</v>
      </c>
      <c r="D64" s="103">
        <v>2761</v>
      </c>
      <c r="E64" s="104">
        <v>45828</v>
      </c>
      <c r="F64" s="105">
        <v>1508.59</v>
      </c>
      <c r="H64" s="32" t="s">
        <v>314</v>
      </c>
      <c r="J64" s="31" t="str">
        <f t="shared" si="0"/>
        <v>2761 45828</v>
      </c>
    </row>
    <row r="65" spans="1:9" x14ac:dyDescent="0.25">
      <c r="A65" s="32">
        <v>65</v>
      </c>
      <c r="C65" s="41" t="s">
        <v>198</v>
      </c>
      <c r="D65" s="32">
        <v>4298</v>
      </c>
      <c r="E65" s="32" t="s">
        <v>373</v>
      </c>
      <c r="F65" s="32">
        <v>1278.43</v>
      </c>
      <c r="H65" s="32" t="s">
        <v>473</v>
      </c>
    </row>
    <row r="66" spans="1:9" x14ac:dyDescent="0.25">
      <c r="A66" s="32">
        <v>66</v>
      </c>
      <c r="C66" s="41" t="s">
        <v>377</v>
      </c>
      <c r="D66" s="32">
        <v>2761</v>
      </c>
      <c r="E66" s="32" t="s">
        <v>325</v>
      </c>
      <c r="F66" s="32">
        <v>1508.59</v>
      </c>
      <c r="H66" s="32" t="s">
        <v>473</v>
      </c>
    </row>
    <row r="67" spans="1:9" x14ac:dyDescent="0.25">
      <c r="A67" s="32">
        <v>67</v>
      </c>
      <c r="C67" s="41" t="s">
        <v>198</v>
      </c>
      <c r="D67" s="32">
        <v>4298</v>
      </c>
      <c r="E67" s="32" t="s">
        <v>374</v>
      </c>
      <c r="F67" s="32">
        <v>791.59</v>
      </c>
      <c r="H67" s="32" t="s">
        <v>473</v>
      </c>
    </row>
    <row r="68" spans="1:9" x14ac:dyDescent="0.25">
      <c r="A68" s="32">
        <v>69</v>
      </c>
      <c r="C68" s="41" t="s">
        <v>200</v>
      </c>
      <c r="D68" s="32">
        <v>4031</v>
      </c>
      <c r="E68" s="32" t="s">
        <v>375</v>
      </c>
      <c r="F68" s="32">
        <v>980.42</v>
      </c>
      <c r="H68" s="32" t="s">
        <v>473</v>
      </c>
    </row>
    <row r="69" spans="1:9" x14ac:dyDescent="0.25">
      <c r="A69" s="32">
        <v>70</v>
      </c>
      <c r="C69" s="41" t="s">
        <v>194</v>
      </c>
      <c r="D69" s="32">
        <v>4196</v>
      </c>
      <c r="E69" s="32" t="s">
        <v>375</v>
      </c>
      <c r="F69" s="32">
        <v>726.58</v>
      </c>
      <c r="H69" s="32" t="s">
        <v>473</v>
      </c>
    </row>
    <row r="70" spans="1:9" x14ac:dyDescent="0.25">
      <c r="A70" s="32">
        <v>72</v>
      </c>
      <c r="C70" s="41" t="s">
        <v>175</v>
      </c>
      <c r="D70" s="32">
        <v>4267</v>
      </c>
      <c r="E70" s="32" t="s">
        <v>375</v>
      </c>
      <c r="F70" s="32">
        <v>1816.02</v>
      </c>
      <c r="H70" s="32" t="s">
        <v>473</v>
      </c>
    </row>
    <row r="71" spans="1:9" x14ac:dyDescent="0.25">
      <c r="A71" s="32">
        <v>73</v>
      </c>
      <c r="C71" s="41" t="s">
        <v>198</v>
      </c>
      <c r="D71" s="32">
        <v>4298</v>
      </c>
      <c r="E71" s="32" t="s">
        <v>375</v>
      </c>
      <c r="F71" s="32">
        <v>791.59</v>
      </c>
      <c r="H71" s="32" t="s">
        <v>473</v>
      </c>
    </row>
    <row r="72" spans="1:9" x14ac:dyDescent="0.25">
      <c r="A72" s="32">
        <v>74</v>
      </c>
      <c r="C72" s="41" t="s">
        <v>204</v>
      </c>
      <c r="D72" s="32">
        <v>4809</v>
      </c>
      <c r="E72" s="32" t="s">
        <v>328</v>
      </c>
      <c r="F72" s="32">
        <v>634.66999999999996</v>
      </c>
      <c r="H72" s="32" t="s">
        <v>473</v>
      </c>
    </row>
    <row r="73" spans="1:9" x14ac:dyDescent="0.25">
      <c r="A73" s="32">
        <v>75</v>
      </c>
      <c r="C73" s="41" t="s">
        <v>202</v>
      </c>
      <c r="D73" s="32">
        <v>4831</v>
      </c>
      <c r="E73" s="32" t="s">
        <v>328</v>
      </c>
      <c r="F73" s="32">
        <v>789.13</v>
      </c>
      <c r="H73" s="32" t="s">
        <v>473</v>
      </c>
    </row>
    <row r="74" spans="1:9" x14ac:dyDescent="0.25">
      <c r="A74" s="32">
        <v>76</v>
      </c>
      <c r="C74" s="41" t="s">
        <v>179</v>
      </c>
      <c r="D74" s="32">
        <v>4864</v>
      </c>
      <c r="E74" s="32" t="s">
        <v>328</v>
      </c>
      <c r="F74" s="32">
        <v>1379.96</v>
      </c>
      <c r="H74" s="32" t="s">
        <v>473</v>
      </c>
    </row>
    <row r="75" spans="1:9" x14ac:dyDescent="0.25">
      <c r="A75" s="32">
        <v>77</v>
      </c>
      <c r="C75" s="32" t="s">
        <v>397</v>
      </c>
      <c r="D75" s="32">
        <v>3938</v>
      </c>
      <c r="E75" s="32" t="s">
        <v>325</v>
      </c>
      <c r="F75" s="32">
        <v>574.12</v>
      </c>
      <c r="H75" s="32" t="s">
        <v>473</v>
      </c>
    </row>
    <row r="76" spans="1:9" x14ac:dyDescent="0.25">
      <c r="A76" s="32">
        <v>78</v>
      </c>
      <c r="C76" s="32" t="s">
        <v>398</v>
      </c>
      <c r="D76" s="32">
        <v>3941</v>
      </c>
      <c r="E76" s="32" t="s">
        <v>325</v>
      </c>
      <c r="F76" s="32">
        <v>347.55</v>
      </c>
      <c r="H76" s="32" t="s">
        <v>473</v>
      </c>
    </row>
    <row r="77" spans="1:9" x14ac:dyDescent="0.25">
      <c r="A77" s="32">
        <v>79</v>
      </c>
      <c r="C77" s="32" t="s">
        <v>399</v>
      </c>
      <c r="D77" s="32">
        <v>3943</v>
      </c>
      <c r="E77" s="32" t="s">
        <v>325</v>
      </c>
      <c r="F77" s="32">
        <v>511.1</v>
      </c>
      <c r="H77" s="32" t="s">
        <v>473</v>
      </c>
    </row>
    <row r="78" spans="1:9" x14ac:dyDescent="0.25">
      <c r="A78" s="32">
        <v>80</v>
      </c>
      <c r="C78" s="32" t="s">
        <v>400</v>
      </c>
      <c r="D78" s="32">
        <v>3946</v>
      </c>
      <c r="E78" s="32" t="s">
        <v>325</v>
      </c>
      <c r="F78" s="32">
        <v>24.66</v>
      </c>
      <c r="H78" s="32" t="s">
        <v>473</v>
      </c>
    </row>
    <row r="79" spans="1:9" x14ac:dyDescent="0.25">
      <c r="A79" s="32">
        <v>81</v>
      </c>
      <c r="C79" s="32" t="s">
        <v>401</v>
      </c>
      <c r="D79" s="32">
        <v>3948</v>
      </c>
      <c r="E79" s="32" t="s">
        <v>325</v>
      </c>
      <c r="F79" s="32">
        <v>52.16</v>
      </c>
      <c r="H79" s="32" t="s">
        <v>473</v>
      </c>
    </row>
    <row r="80" spans="1:9" x14ac:dyDescent="0.25">
      <c r="A80" s="32">
        <v>82</v>
      </c>
      <c r="C80" s="41" t="s">
        <v>403</v>
      </c>
      <c r="D80" s="32">
        <v>2640</v>
      </c>
      <c r="E80" s="32" t="s">
        <v>393</v>
      </c>
      <c r="F80" s="32">
        <v>2447.94</v>
      </c>
      <c r="H80" s="32" t="s">
        <v>215</v>
      </c>
      <c r="I80" s="38">
        <v>45989</v>
      </c>
    </row>
    <row r="81" spans="1:9" x14ac:dyDescent="0.25">
      <c r="A81" s="32">
        <v>81</v>
      </c>
      <c r="C81" s="41" t="s">
        <v>404</v>
      </c>
      <c r="D81" s="32">
        <v>2980</v>
      </c>
      <c r="E81" s="32" t="s">
        <v>393</v>
      </c>
      <c r="F81" s="105">
        <v>1062.0999999999999</v>
      </c>
      <c r="H81" s="32" t="s">
        <v>215</v>
      </c>
      <c r="I81" s="38">
        <v>45989</v>
      </c>
    </row>
    <row r="82" spans="1:9" x14ac:dyDescent="0.25">
      <c r="A82" s="32">
        <v>82</v>
      </c>
      <c r="C82" s="41" t="s">
        <v>405</v>
      </c>
      <c r="D82" s="32">
        <v>4488</v>
      </c>
      <c r="E82" s="32" t="s">
        <v>393</v>
      </c>
      <c r="F82" s="105">
        <v>1284.3</v>
      </c>
      <c r="H82" s="32" t="s">
        <v>215</v>
      </c>
      <c r="I82" s="38">
        <v>45989</v>
      </c>
    </row>
    <row r="83" spans="1:9" x14ac:dyDescent="0.25">
      <c r="A83" s="32">
        <v>83</v>
      </c>
      <c r="C83" s="41" t="s">
        <v>406</v>
      </c>
      <c r="D83" s="32">
        <v>4575</v>
      </c>
      <c r="E83" s="32" t="s">
        <v>402</v>
      </c>
      <c r="F83" s="32">
        <v>2516.23</v>
      </c>
      <c r="H83" s="32" t="s">
        <v>473</v>
      </c>
    </row>
    <row r="84" spans="1:9" x14ac:dyDescent="0.25">
      <c r="A84" s="32">
        <v>84</v>
      </c>
      <c r="C84" s="41" t="s">
        <v>292</v>
      </c>
      <c r="D84" s="32">
        <v>3833</v>
      </c>
      <c r="E84" s="32" t="s">
        <v>375</v>
      </c>
      <c r="F84" s="41" t="s">
        <v>407</v>
      </c>
      <c r="H84" s="32" t="s">
        <v>473</v>
      </c>
    </row>
    <row r="85" spans="1:9" x14ac:dyDescent="0.25">
      <c r="A85" s="32">
        <v>85</v>
      </c>
      <c r="C85" s="41" t="s">
        <v>201</v>
      </c>
      <c r="D85" s="32">
        <v>4206</v>
      </c>
      <c r="E85" s="32" t="s">
        <v>375</v>
      </c>
      <c r="F85" s="41" t="s">
        <v>408</v>
      </c>
      <c r="H85" s="32" t="s">
        <v>473</v>
      </c>
    </row>
    <row r="86" spans="1:9" x14ac:dyDescent="0.25">
      <c r="A86" s="32">
        <v>86</v>
      </c>
      <c r="C86" s="109" t="s">
        <v>203</v>
      </c>
      <c r="D86" s="110">
        <v>4840</v>
      </c>
      <c r="E86" s="110" t="s">
        <v>326</v>
      </c>
      <c r="F86" s="110" t="s">
        <v>434</v>
      </c>
      <c r="H86" s="32" t="s">
        <v>470</v>
      </c>
    </row>
    <row r="87" spans="1:9" x14ac:dyDescent="0.25">
      <c r="A87" s="32">
        <v>87</v>
      </c>
      <c r="C87" s="109" t="s">
        <v>203</v>
      </c>
      <c r="D87" s="110">
        <v>4840</v>
      </c>
      <c r="E87" s="110" t="s">
        <v>328</v>
      </c>
      <c r="F87" s="110" t="s">
        <v>434</v>
      </c>
      <c r="H87" s="32" t="s">
        <v>470</v>
      </c>
    </row>
    <row r="88" spans="1:9" x14ac:dyDescent="0.25">
      <c r="A88" s="32">
        <v>88</v>
      </c>
      <c r="C88" s="109" t="s">
        <v>435</v>
      </c>
      <c r="D88" s="110">
        <v>4685</v>
      </c>
      <c r="E88" s="110" t="s">
        <v>393</v>
      </c>
      <c r="F88" s="110" t="s">
        <v>436</v>
      </c>
      <c r="H88" s="32" t="s">
        <v>215</v>
      </c>
      <c r="I88" s="29">
        <v>45669</v>
      </c>
    </row>
    <row r="89" spans="1:9" x14ac:dyDescent="0.25">
      <c r="A89" s="32">
        <v>89</v>
      </c>
      <c r="C89" s="32" t="s">
        <v>456</v>
      </c>
      <c r="D89" s="32" t="s">
        <v>457</v>
      </c>
      <c r="E89" s="32" t="s">
        <v>437</v>
      </c>
      <c r="F89" s="32" t="s">
        <v>458</v>
      </c>
      <c r="H89" s="32" t="s">
        <v>474</v>
      </c>
    </row>
    <row r="90" spans="1:9" x14ac:dyDescent="0.25">
      <c r="A90" s="32">
        <v>90</v>
      </c>
      <c r="C90" s="32" t="s">
        <v>195</v>
      </c>
      <c r="D90" s="32" t="s">
        <v>459</v>
      </c>
      <c r="E90" s="32" t="s">
        <v>375</v>
      </c>
      <c r="F90" s="32" t="s">
        <v>460</v>
      </c>
      <c r="H90" s="32" t="s">
        <v>474</v>
      </c>
    </row>
    <row r="91" spans="1:9" x14ac:dyDescent="0.25">
      <c r="A91" s="32">
        <v>91</v>
      </c>
      <c r="C91" s="102" t="s">
        <v>604</v>
      </c>
      <c r="D91" s="103">
        <v>3608</v>
      </c>
      <c r="E91" s="104">
        <v>45915</v>
      </c>
      <c r="F91" s="105">
        <v>852.94</v>
      </c>
      <c r="H91" s="32" t="s">
        <v>215</v>
      </c>
      <c r="I91" s="29">
        <v>45942</v>
      </c>
    </row>
    <row r="92" spans="1:9" x14ac:dyDescent="0.25">
      <c r="A92" s="32">
        <v>92</v>
      </c>
      <c r="C92" s="102" t="s">
        <v>605</v>
      </c>
      <c r="D92" s="103">
        <v>2393</v>
      </c>
      <c r="E92" s="104">
        <v>45930</v>
      </c>
      <c r="F92" s="105">
        <v>818.34</v>
      </c>
      <c r="H92" s="32" t="s">
        <v>215</v>
      </c>
      <c r="I92" s="29">
        <v>45942</v>
      </c>
    </row>
    <row r="93" spans="1:9" x14ac:dyDescent="0.25">
      <c r="A93" s="32">
        <v>93</v>
      </c>
      <c r="C93" s="102" t="s">
        <v>606</v>
      </c>
      <c r="D93" s="103">
        <v>4030</v>
      </c>
      <c r="E93" s="104">
        <v>45935</v>
      </c>
      <c r="F93" s="105">
        <v>716.12</v>
      </c>
      <c r="H93" s="32" t="s">
        <v>215</v>
      </c>
      <c r="I93" s="29">
        <v>45942</v>
      </c>
    </row>
    <row r="94" spans="1:9" x14ac:dyDescent="0.25">
      <c r="A94" s="32">
        <v>94</v>
      </c>
      <c r="C94" s="102" t="s">
        <v>608</v>
      </c>
      <c r="D94" s="103">
        <v>3459</v>
      </c>
      <c r="E94" s="104">
        <v>45930</v>
      </c>
      <c r="F94" s="105">
        <v>3010.74</v>
      </c>
      <c r="H94" s="32" t="s">
        <v>215</v>
      </c>
      <c r="I94" s="29">
        <v>45942</v>
      </c>
    </row>
    <row r="95" spans="1:9" x14ac:dyDescent="0.25">
      <c r="A95" s="32">
        <v>95</v>
      </c>
      <c r="C95" s="102" t="s">
        <v>607</v>
      </c>
      <c r="D95" s="103">
        <v>423</v>
      </c>
      <c r="E95" s="104">
        <v>45930</v>
      </c>
      <c r="F95" s="105">
        <v>1839.72</v>
      </c>
      <c r="H95" s="32" t="s">
        <v>215</v>
      </c>
      <c r="I95" s="29">
        <v>45942</v>
      </c>
    </row>
    <row r="96" spans="1:9" x14ac:dyDescent="0.25">
      <c r="A96" s="32">
        <v>96</v>
      </c>
      <c r="C96" s="102" t="s">
        <v>609</v>
      </c>
      <c r="D96" s="103">
        <v>2388</v>
      </c>
      <c r="E96" s="104">
        <v>45930</v>
      </c>
      <c r="F96" s="105">
        <v>932.69</v>
      </c>
      <c r="H96" s="32" t="s">
        <v>215</v>
      </c>
      <c r="I96" s="29">
        <v>45942</v>
      </c>
    </row>
    <row r="97" spans="1:9" x14ac:dyDescent="0.25">
      <c r="A97" s="32">
        <v>97</v>
      </c>
      <c r="C97" t="s">
        <v>669</v>
      </c>
      <c r="D97" t="s">
        <v>670</v>
      </c>
      <c r="E97" t="s">
        <v>393</v>
      </c>
      <c r="F97" t="s">
        <v>671</v>
      </c>
      <c r="H97" s="32" t="s">
        <v>215</v>
      </c>
      <c r="I97" s="29">
        <v>45973</v>
      </c>
    </row>
    <row r="98" spans="1:9" x14ac:dyDescent="0.25">
      <c r="A98" s="32">
        <v>98</v>
      </c>
      <c r="C98" t="s">
        <v>672</v>
      </c>
      <c r="D98" t="s">
        <v>673</v>
      </c>
      <c r="E98" t="s">
        <v>393</v>
      </c>
      <c r="F98" t="s">
        <v>674</v>
      </c>
      <c r="H98" s="32" t="s">
        <v>215</v>
      </c>
      <c r="I98" s="29">
        <v>45973</v>
      </c>
    </row>
    <row r="99" spans="1:9" x14ac:dyDescent="0.25">
      <c r="A99" s="32">
        <v>99</v>
      </c>
      <c r="C99" t="s">
        <v>675</v>
      </c>
      <c r="D99" t="s">
        <v>676</v>
      </c>
      <c r="E99" t="s">
        <v>629</v>
      </c>
      <c r="F99" t="s">
        <v>677</v>
      </c>
      <c r="H99" s="32" t="s">
        <v>215</v>
      </c>
      <c r="I99" s="29">
        <v>45973</v>
      </c>
    </row>
    <row r="100" spans="1:9" x14ac:dyDescent="0.25">
      <c r="A100" s="32">
        <v>100</v>
      </c>
      <c r="C100" t="s">
        <v>706</v>
      </c>
      <c r="D100" t="s">
        <v>707</v>
      </c>
      <c r="E100" t="s">
        <v>478</v>
      </c>
      <c r="F100" t="s">
        <v>708</v>
      </c>
      <c r="H100" s="32" t="s">
        <v>215</v>
      </c>
      <c r="I100" s="29">
        <v>46003</v>
      </c>
    </row>
    <row r="101" spans="1:9" x14ac:dyDescent="0.25">
      <c r="A101" s="32">
        <v>101</v>
      </c>
      <c r="C101" t="s">
        <v>733</v>
      </c>
      <c r="D101" t="s">
        <v>734</v>
      </c>
      <c r="E101" t="s">
        <v>735</v>
      </c>
      <c r="F101" t="s">
        <v>736</v>
      </c>
      <c r="H101" s="32" t="s">
        <v>215</v>
      </c>
      <c r="I101" t="s">
        <v>742</v>
      </c>
    </row>
    <row r="102" spans="1:9" x14ac:dyDescent="0.25">
      <c r="A102" s="32">
        <v>102</v>
      </c>
      <c r="C102" t="s">
        <v>737</v>
      </c>
      <c r="D102" t="s">
        <v>738</v>
      </c>
      <c r="E102" t="s">
        <v>629</v>
      </c>
      <c r="F102" t="s">
        <v>739</v>
      </c>
      <c r="H102" s="32" t="s">
        <v>215</v>
      </c>
      <c r="I102" t="s">
        <v>742</v>
      </c>
    </row>
    <row r="103" spans="1:9" x14ac:dyDescent="0.25">
      <c r="C103" t="s">
        <v>743</v>
      </c>
      <c r="D103" t="s">
        <v>744</v>
      </c>
      <c r="E103" t="s">
        <v>324</v>
      </c>
      <c r="F103" t="s">
        <v>745</v>
      </c>
      <c r="G103"/>
      <c r="H103" t="s">
        <v>215</v>
      </c>
      <c r="I103" t="s">
        <v>751</v>
      </c>
    </row>
    <row r="104" spans="1:9" x14ac:dyDescent="0.25">
      <c r="C104" t="s">
        <v>743</v>
      </c>
      <c r="D104" t="s">
        <v>744</v>
      </c>
      <c r="E104" t="s">
        <v>326</v>
      </c>
      <c r="F104" t="s">
        <v>745</v>
      </c>
      <c r="G104"/>
      <c r="H104" t="s">
        <v>215</v>
      </c>
      <c r="I104" t="s">
        <v>751</v>
      </c>
    </row>
    <row r="105" spans="1:9" x14ac:dyDescent="0.25">
      <c r="C105" t="s">
        <v>743</v>
      </c>
      <c r="D105" t="s">
        <v>744</v>
      </c>
      <c r="E105" t="s">
        <v>328</v>
      </c>
      <c r="F105" t="s">
        <v>745</v>
      </c>
      <c r="G105"/>
      <c r="H105" t="s">
        <v>215</v>
      </c>
      <c r="I105" t="s">
        <v>751</v>
      </c>
    </row>
    <row r="106" spans="1:9" x14ac:dyDescent="0.25">
      <c r="C106" t="s">
        <v>746</v>
      </c>
      <c r="D106" t="s">
        <v>747</v>
      </c>
      <c r="E106" t="s">
        <v>478</v>
      </c>
      <c r="F106" t="s">
        <v>748</v>
      </c>
      <c r="G106"/>
      <c r="H106" t="s">
        <v>215</v>
      </c>
      <c r="I106" t="s">
        <v>751</v>
      </c>
    </row>
    <row r="107" spans="1:9" x14ac:dyDescent="0.25">
      <c r="C107" t="s">
        <v>194</v>
      </c>
      <c r="D107" t="s">
        <v>749</v>
      </c>
      <c r="E107" t="s">
        <v>735</v>
      </c>
      <c r="F107" t="s">
        <v>750</v>
      </c>
      <c r="G107"/>
      <c r="H107" t="s">
        <v>215</v>
      </c>
      <c r="I107" t="s">
        <v>751</v>
      </c>
    </row>
    <row r="108" spans="1:9" x14ac:dyDescent="0.25">
      <c r="C108" s="112" t="s">
        <v>880</v>
      </c>
      <c r="D108">
        <v>4689</v>
      </c>
      <c r="E108" s="38">
        <v>45797</v>
      </c>
      <c r="F108">
        <v>1497.53</v>
      </c>
      <c r="G108"/>
      <c r="H108" t="s">
        <v>215</v>
      </c>
      <c r="I108" t="s">
        <v>890</v>
      </c>
    </row>
    <row r="109" spans="1:9" x14ac:dyDescent="0.25">
      <c r="C109" s="112" t="s">
        <v>880</v>
      </c>
      <c r="D109">
        <v>4689</v>
      </c>
      <c r="E109" s="38">
        <v>45828</v>
      </c>
      <c r="F109">
        <v>1552.88</v>
      </c>
      <c r="G109"/>
      <c r="H109" t="s">
        <v>215</v>
      </c>
      <c r="I109" t="s">
        <v>890</v>
      </c>
    </row>
    <row r="110" spans="1:9" x14ac:dyDescent="0.25">
      <c r="C110" s="112" t="s">
        <v>880</v>
      </c>
      <c r="D110">
        <v>4689</v>
      </c>
      <c r="E110" s="38">
        <v>45858</v>
      </c>
      <c r="F110">
        <v>1497.53</v>
      </c>
      <c r="G110"/>
      <c r="H110" t="s">
        <v>215</v>
      </c>
      <c r="I110" t="s">
        <v>890</v>
      </c>
    </row>
    <row r="111" spans="1:9" x14ac:dyDescent="0.25">
      <c r="C111" s="112" t="s">
        <v>881</v>
      </c>
      <c r="D111">
        <v>4626</v>
      </c>
      <c r="E111" s="38">
        <v>45935</v>
      </c>
      <c r="F111">
        <v>2787.7</v>
      </c>
      <c r="G111"/>
      <c r="H111" t="s">
        <v>118</v>
      </c>
    </row>
    <row r="112" spans="1:9" x14ac:dyDescent="0.25">
      <c r="C112" s="112" t="s">
        <v>882</v>
      </c>
      <c r="D112">
        <v>4039</v>
      </c>
      <c r="E112" s="38">
        <v>45920</v>
      </c>
      <c r="F112">
        <v>839.77</v>
      </c>
      <c r="G112"/>
      <c r="H112" t="s">
        <v>215</v>
      </c>
      <c r="I112" t="s">
        <v>890</v>
      </c>
    </row>
    <row r="113" spans="3:9" x14ac:dyDescent="0.25">
      <c r="C113" s="112" t="s">
        <v>300</v>
      </c>
      <c r="D113">
        <v>3405</v>
      </c>
      <c r="E113" s="38">
        <v>45930</v>
      </c>
      <c r="F113">
        <v>2389.6799999999998</v>
      </c>
      <c r="G113"/>
      <c r="H113" t="s">
        <v>215</v>
      </c>
      <c r="I113" t="s">
        <v>890</v>
      </c>
    </row>
    <row r="114" spans="3:9" x14ac:dyDescent="0.25">
      <c r="C114" s="112" t="s">
        <v>883</v>
      </c>
      <c r="D114">
        <v>4223</v>
      </c>
      <c r="E114" s="38">
        <v>45950</v>
      </c>
      <c r="F114">
        <v>4137.7299999999996</v>
      </c>
      <c r="G114"/>
      <c r="H114" t="s">
        <v>891</v>
      </c>
    </row>
    <row r="115" spans="3:9" x14ac:dyDescent="0.25">
      <c r="C115" s="112" t="s">
        <v>884</v>
      </c>
      <c r="D115">
        <v>4718</v>
      </c>
      <c r="E115" s="38">
        <v>45950</v>
      </c>
      <c r="F115">
        <v>1943.91</v>
      </c>
      <c r="G115"/>
      <c r="H115" t="s">
        <v>215</v>
      </c>
      <c r="I115" t="s">
        <v>890</v>
      </c>
    </row>
    <row r="116" spans="3:9" x14ac:dyDescent="0.25">
      <c r="C116" s="112" t="s">
        <v>404</v>
      </c>
      <c r="D116">
        <v>2980</v>
      </c>
      <c r="E116" s="38">
        <v>45950</v>
      </c>
      <c r="F116">
        <v>1062.0999999999999</v>
      </c>
      <c r="G116"/>
      <c r="H116" t="s">
        <v>118</v>
      </c>
    </row>
    <row r="117" spans="3:9" x14ac:dyDescent="0.25">
      <c r="C117" s="112" t="s">
        <v>885</v>
      </c>
      <c r="D117">
        <v>3685</v>
      </c>
      <c r="E117" s="38">
        <v>45950</v>
      </c>
      <c r="F117">
        <v>728.66</v>
      </c>
      <c r="G117"/>
      <c r="H117" t="s">
        <v>215</v>
      </c>
      <c r="I117" t="s">
        <v>890</v>
      </c>
    </row>
    <row r="118" spans="3:9" x14ac:dyDescent="0.25">
      <c r="C118" s="112" t="s">
        <v>889</v>
      </c>
      <c r="D118">
        <v>2719</v>
      </c>
      <c r="E118" s="38">
        <v>45950</v>
      </c>
      <c r="F118">
        <v>2594.46</v>
      </c>
      <c r="G118"/>
      <c r="H118" t="s">
        <v>215</v>
      </c>
      <c r="I118" t="s">
        <v>890</v>
      </c>
    </row>
    <row r="119" spans="3:9" x14ac:dyDescent="0.25">
      <c r="C119" s="112" t="s">
        <v>886</v>
      </c>
      <c r="D119">
        <v>4710</v>
      </c>
      <c r="E119" s="38">
        <v>45950</v>
      </c>
      <c r="F119">
        <v>996.11</v>
      </c>
      <c r="G119"/>
      <c r="H119" t="s">
        <v>215</v>
      </c>
      <c r="I119" t="s">
        <v>890</v>
      </c>
    </row>
    <row r="120" spans="3:9" x14ac:dyDescent="0.25">
      <c r="C120" s="112" t="s">
        <v>672</v>
      </c>
      <c r="D120">
        <v>4511</v>
      </c>
      <c r="E120" s="38">
        <v>45950</v>
      </c>
      <c r="F120">
        <v>1881.74</v>
      </c>
      <c r="G120"/>
      <c r="H120" t="s">
        <v>215</v>
      </c>
      <c r="I120" t="s">
        <v>890</v>
      </c>
    </row>
    <row r="121" spans="3:9" x14ac:dyDescent="0.25">
      <c r="C121" s="112" t="s">
        <v>887</v>
      </c>
      <c r="D121">
        <v>1720</v>
      </c>
      <c r="E121" s="38">
        <v>45950</v>
      </c>
      <c r="F121">
        <v>1016.91</v>
      </c>
      <c r="G121"/>
      <c r="H121" t="s">
        <v>215</v>
      </c>
      <c r="I121" t="s">
        <v>890</v>
      </c>
    </row>
    <row r="122" spans="3:9" x14ac:dyDescent="0.25">
      <c r="C122" s="112" t="s">
        <v>888</v>
      </c>
      <c r="D122">
        <v>2826</v>
      </c>
      <c r="E122" s="38">
        <v>45950</v>
      </c>
      <c r="F122">
        <v>1099.79</v>
      </c>
      <c r="G122"/>
      <c r="H122" t="s">
        <v>215</v>
      </c>
      <c r="I122" t="s">
        <v>890</v>
      </c>
    </row>
    <row r="123" spans="3:9" x14ac:dyDescent="0.25">
      <c r="C123" t="s">
        <v>907</v>
      </c>
      <c r="D123" t="s">
        <v>906</v>
      </c>
      <c r="E123" t="s">
        <v>212</v>
      </c>
      <c r="F123" t="s">
        <v>905</v>
      </c>
      <c r="G123" t="s">
        <v>892</v>
      </c>
      <c r="H123" t="s">
        <v>215</v>
      </c>
      <c r="I123" t="s">
        <v>909</v>
      </c>
    </row>
    <row r="124" spans="3:9" x14ac:dyDescent="0.25">
      <c r="C124" t="s">
        <v>904</v>
      </c>
      <c r="D124" t="s">
        <v>903</v>
      </c>
      <c r="E124" t="s">
        <v>212</v>
      </c>
      <c r="F124" t="s">
        <v>902</v>
      </c>
      <c r="G124" t="s">
        <v>892</v>
      </c>
      <c r="H124" t="s">
        <v>215</v>
      </c>
      <c r="I124" t="s">
        <v>909</v>
      </c>
    </row>
  </sheetData>
  <autoFilter ref="A1:I34" xr:uid="{85985348-9E6D-4BBF-A643-9D20568E819C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bkup</vt:lpstr>
      <vt:lpstr>bkup (2)</vt:lpstr>
      <vt:lpstr>PESSOA FISICA</vt:lpstr>
      <vt:lpstr>cpf</vt:lpstr>
      <vt:lpstr>cnpj</vt:lpstr>
      <vt:lpstr>PESSOA JURIDICA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Verzaro Neto</dc:creator>
  <cp:lastModifiedBy>Enzo Verzaro Neto</cp:lastModifiedBy>
  <dcterms:created xsi:type="dcterms:W3CDTF">2025-09-18T18:45:52Z</dcterms:created>
  <dcterms:modified xsi:type="dcterms:W3CDTF">2025-12-29T13:47:07Z</dcterms:modified>
</cp:coreProperties>
</file>